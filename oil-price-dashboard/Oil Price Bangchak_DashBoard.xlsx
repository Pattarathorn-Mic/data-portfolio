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0"/>
  <workbookPr defaultThemeVersion="166925"/>
  <mc:AlternateContent xmlns:mc="http://schemas.openxmlformats.org/markup-compatibility/2006">
    <mc:Choice Requires="x15">
      <x15ac:absPath xmlns:x15ac="http://schemas.microsoft.com/office/spreadsheetml/2010/11/ac" url="C:\Users\pattarathorn_c\Desktop\TU&amp;SOLID\"/>
    </mc:Choice>
  </mc:AlternateContent>
  <xr:revisionPtr revIDLastSave="0" documentId="13_ncr:1_{422CD68C-B917-420C-92FA-6C0990B261DA}" xr6:coauthVersionLast="36" xr6:coauthVersionMax="36" xr10:uidLastSave="{00000000-0000-0000-0000-000000000000}"/>
  <bookViews>
    <workbookView xWindow="0" yWindow="0" windowWidth="6450" windowHeight="3120" xr2:uid="{E6C455A3-0828-40BB-A74B-E6CE1CB497E4}"/>
  </bookViews>
  <sheets>
    <sheet name="DashBoard" sheetId="5" r:id="rId1"/>
    <sheet name="Avg price" sheetId="4" r:id="rId2"/>
    <sheet name="Sheet3" sheetId="3" r:id="rId3"/>
    <sheet name="Sheet2" sheetId="2" r:id="rId4"/>
  </sheets>
  <definedNames>
    <definedName name="ExternalData_1" localSheetId="3" hidden="1">Sheet2!$A$1:$H$29</definedName>
    <definedName name="ExternalData_2" localSheetId="2" hidden="1">Sheet3!$A$1:$C$197</definedName>
    <definedName name="NativeTimeline_วันที่">#N/A</definedName>
    <definedName name="Slicer_Fuel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5" l="1"/>
  <c r="G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C59471-7AEE-4D14-9634-352FD94CD5DD}" keepAlive="1" name="Query - Table 0" description="Connection to the 'Table 0' query in the workbook." type="5" refreshedVersion="6" background="1" saveData="1">
    <dbPr connection="Provider=Microsoft.Mashup.OleDb.1;Data Source=$Workbook$;Location=Table 0;Extended Properties=&quot;&quot;" command="SELECT * FROM [Table 0]"/>
  </connection>
  <connection id="2" xr16:uid="{02560F72-59B9-481C-B0CF-BB93B109602A}" keepAlive="1" name="Query - Table_0" description="Connection to the 'Table_0' query in the workbook." type="5" refreshedVersion="6" background="1" saveData="1">
    <dbPr connection="Provider=Microsoft.Mashup.OleDb.1;Data Source=$Workbook$;Location=Table_0;Extended Properties=&quot;&quot;" command="SELECT * FROM [Table_0]"/>
  </connection>
</connections>
</file>

<file path=xl/sharedStrings.xml><?xml version="1.0" encoding="utf-8"?>
<sst xmlns="http://schemas.openxmlformats.org/spreadsheetml/2006/main" count="259" uniqueCount="53">
  <si>
    <t>วันที่</t>
  </si>
  <si>
    <t>21/10/2568</t>
  </si>
  <si>
    <t>04/10/2568</t>
  </si>
  <si>
    <t>24/09/2568</t>
  </si>
  <si>
    <t>22/08/2568</t>
  </si>
  <si>
    <t>09/08/2568</t>
  </si>
  <si>
    <t>06/08/2568</t>
  </si>
  <si>
    <t>05/08/2568</t>
  </si>
  <si>
    <t>01/08/2568</t>
  </si>
  <si>
    <t>24/07/2568</t>
  </si>
  <si>
    <t>02/07/2568</t>
  </si>
  <si>
    <t>26/06/2568</t>
  </si>
  <si>
    <t>24/06/2568</t>
  </si>
  <si>
    <t>20/06/2568</t>
  </si>
  <si>
    <t>13/06/2568</t>
  </si>
  <si>
    <t>22/05/2568</t>
  </si>
  <si>
    <t>12/04/2568</t>
  </si>
  <si>
    <t>09/04/2568</t>
  </si>
  <si>
    <t>04/04/2568</t>
  </si>
  <si>
    <t>28/03/2568</t>
  </si>
  <si>
    <t>11/03/2568</t>
  </si>
  <si>
    <t>06/03/2568</t>
  </si>
  <si>
    <t>28/02/2568</t>
  </si>
  <si>
    <t>20/02/2568</t>
  </si>
  <si>
    <t>06/02/2568</t>
  </si>
  <si>
    <t>23/01/2568</t>
  </si>
  <si>
    <t>15/01/2568</t>
  </si>
  <si>
    <t>11/01/2568</t>
  </si>
  <si>
    <t>03/01/2568</t>
  </si>
  <si>
    <t>พรีเมียมดีเซล S</t>
  </si>
  <si>
    <t>ดีเซล</t>
  </si>
  <si>
    <t>เบนซิน 97</t>
  </si>
  <si>
    <t>E85</t>
  </si>
  <si>
    <t>E20</t>
  </si>
  <si>
    <t>Gasohol 91</t>
  </si>
  <si>
    <t>Gasohol 95</t>
  </si>
  <si>
    <t>FuelType</t>
  </si>
  <si>
    <t>Price</t>
  </si>
  <si>
    <t>Grand Total</t>
  </si>
  <si>
    <t>Jan</t>
  </si>
  <si>
    <t>Feb</t>
  </si>
  <si>
    <t>Mar</t>
  </si>
  <si>
    <t>Apr</t>
  </si>
  <si>
    <t>May</t>
  </si>
  <si>
    <t>Jun</t>
  </si>
  <si>
    <t>Jul</t>
  </si>
  <si>
    <t>Aug</t>
  </si>
  <si>
    <t>Sep</t>
  </si>
  <si>
    <t>Oct</t>
  </si>
  <si>
    <t>Row Labels</t>
  </si>
  <si>
    <t>Average of Price</t>
  </si>
  <si>
    <t>Average Price</t>
  </si>
  <si>
    <t>Oil Price by Bangchak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</si>
</sst>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8"/>
      <color theme="3"/>
      <name val="Calibri Light"/>
      <family val="2"/>
      <scheme val="major"/>
    </font>
    <font>
      <sz val="11"/>
      <color rgb="FF006100"/>
      <name val="Calibri"/>
      <family val="2"/>
      <scheme val="minor"/>
    </font>
    <font>
      <sz val="11"/>
      <color rgb="FF9C0006"/>
      <name val="Calibri"/>
      <family val="2"/>
      <scheme val="minor"/>
    </font>
    <font>
      <sz val="11"/>
      <color rgb="FF006100"/>
      <name val="72 Black"/>
      <family val="2"/>
    </font>
    <font>
      <sz val="11"/>
      <color rgb="FF9C0006"/>
      <name val="72 Black"/>
      <family val="2"/>
    </font>
    <font>
      <b/>
      <sz val="18"/>
      <color theme="3"/>
      <name val="Arial Black"/>
      <family val="2"/>
    </font>
  </fonts>
  <fills count="4">
    <fill>
      <patternFill patternType="none"/>
    </fill>
    <fill>
      <patternFill patternType="gray125"/>
    </fill>
    <fill>
      <patternFill patternType="solid">
        <fgColor rgb="FFC6EFCE"/>
      </patternFill>
    </fill>
    <fill>
      <patternFill patternType="solid">
        <fgColor rgb="FFFFC7CE"/>
      </patternFill>
    </fill>
  </fills>
  <borders count="2">
    <border>
      <left/>
      <right/>
      <top/>
      <bottom/>
      <diagonal/>
    </border>
    <border>
      <left style="medium">
        <color indexed="64"/>
      </left>
      <right/>
      <top/>
      <bottom/>
      <diagonal/>
    </border>
  </borders>
  <cellStyleXfs count="4">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3" borderId="0" applyNumberFormat="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5" fillId="3" borderId="0" xfId="3" applyFont="1" applyBorder="1" applyAlignment="1">
      <alignment horizontal="center"/>
    </xf>
    <xf numFmtId="0" fontId="6" fillId="0" borderId="1" xfId="1" applyFont="1" applyBorder="1" applyAlignment="1">
      <alignment horizontal="center"/>
    </xf>
    <xf numFmtId="0" fontId="6" fillId="0" borderId="0" xfId="1" applyFont="1" applyBorder="1" applyAlignment="1">
      <alignment horizontal="center"/>
    </xf>
    <xf numFmtId="0" fontId="4" fillId="2" borderId="0" xfId="2" applyFont="1" applyBorder="1" applyAlignment="1">
      <alignment horizontal="center"/>
    </xf>
  </cellXfs>
  <cellStyles count="4">
    <cellStyle name="Bad" xfId="3" builtinId="27"/>
    <cellStyle name="Good" xfId="2" builtinId="26"/>
    <cellStyle name="Normal" xfId="0" builtinId="0"/>
    <cellStyle name="Title" xfId="1" builtinId="15"/>
  </cellStyles>
  <dxfs count="6">
    <dxf>
      <numFmt numFmtId="0" formatCode="General"/>
    </dxf>
    <dxf>
      <numFmt numFmtId="0" formatCode="General"/>
    </dxf>
    <dxf>
      <numFmt numFmtId="19" formatCode="dd/mm/yyyy"/>
    </dxf>
    <dxf>
      <numFmt numFmtId="2" formatCode="0.00"/>
    </dxf>
    <dxf>
      <numFmt numFmtId="164"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Price Bangchak_Refresh.xlsx]DashBoard!PivotTable1</c:name>
    <c:fmtId val="10"/>
  </c:pivotSource>
  <c:chart>
    <c:autoTitleDeleted val="1"/>
    <c:pivotFmts>
      <c:pivotFmt>
        <c:idx val="0"/>
      </c:pivotFmt>
      <c:pivotFmt>
        <c:idx val="1"/>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12430461224559"/>
          <c:y val="0.32155123774995747"/>
          <c:w val="0.86726089088541813"/>
          <c:h val="0.42533914915311843"/>
        </c:manualLayout>
      </c:layout>
      <c:lineChart>
        <c:grouping val="standard"/>
        <c:varyColors val="0"/>
        <c:ser>
          <c:idx val="0"/>
          <c:order val="0"/>
          <c:tx>
            <c:strRef>
              <c:f>DashBoard!$B$3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DashBoard!$A$4:$A$14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DashBoard!$B$4:$B$14</c:f>
              <c:numCache>
                <c:formatCode>0.00</c:formatCode>
                <c:ptCount val="10"/>
                <c:pt idx="0">
                  <c:v>38.297142857142873</c:v>
                </c:pt>
                <c:pt idx="1">
                  <c:v>37.949523809523811</c:v>
                </c:pt>
                <c:pt idx="2">
                  <c:v>37.335238095238104</c:v>
                </c:pt>
                <c:pt idx="3">
                  <c:v>36.192380952380951</c:v>
                </c:pt>
                <c:pt idx="4">
                  <c:v>35.811428571428571</c:v>
                </c:pt>
                <c:pt idx="5">
                  <c:v>36.322142857142858</c:v>
                </c:pt>
                <c:pt idx="6">
                  <c:v>36.011428571428567</c:v>
                </c:pt>
                <c:pt idx="7">
                  <c:v>36.137142857142862</c:v>
                </c:pt>
                <c:pt idx="8">
                  <c:v>35.954285714285717</c:v>
                </c:pt>
                <c:pt idx="9">
                  <c:v>35.382857142857141</c:v>
                </c:pt>
              </c:numCache>
            </c:numRef>
          </c:val>
          <c:smooth val="0"/>
          <c:extLst>
            <c:ext xmlns:c16="http://schemas.microsoft.com/office/drawing/2014/chart" uri="{C3380CC4-5D6E-409C-BE32-E72D297353CC}">
              <c16:uniqueId val="{00000000-4255-42FD-9175-E7F479FE3172}"/>
            </c:ext>
          </c:extLst>
        </c:ser>
        <c:dLbls>
          <c:showLegendKey val="0"/>
          <c:showVal val="0"/>
          <c:showCatName val="0"/>
          <c:showSerName val="0"/>
          <c:showPercent val="0"/>
          <c:showBubbleSize val="0"/>
        </c:dLbls>
        <c:marker val="1"/>
        <c:smooth val="0"/>
        <c:axId val="2062056223"/>
        <c:axId val="2065165327"/>
      </c:lineChart>
      <c:catAx>
        <c:axId val="2062056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165327"/>
        <c:crosses val="autoZero"/>
        <c:auto val="1"/>
        <c:lblAlgn val="ctr"/>
        <c:lblOffset val="100"/>
        <c:noMultiLvlLbl val="0"/>
      </c:catAx>
      <c:valAx>
        <c:axId val="2065165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5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Price Bangchak_Refresh.xlsx]DashBoard!PivotTable2</c:name>
    <c:fmtId val="3"/>
  </c:pivotSource>
  <c:chart>
    <c:autoTitleDeleted val="1"/>
    <c:pivotFmts>
      <c:pivotFmt>
        <c:idx val="0"/>
      </c:pivotFmt>
      <c:pivotFmt>
        <c:idx val="1"/>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DashBoard!$B$22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DashBoard!$A$23:$A$30</c:f>
              <c:strCache>
                <c:ptCount val="7"/>
                <c:pt idx="0">
                  <c:v>E20</c:v>
                </c:pt>
                <c:pt idx="1">
                  <c:v>E85</c:v>
                </c:pt>
                <c:pt idx="2">
                  <c:v>Gasohol 91</c:v>
                </c:pt>
                <c:pt idx="3">
                  <c:v>Gasohol 95</c:v>
                </c:pt>
                <c:pt idx="4">
                  <c:v>เบนซิน 97</c:v>
                </c:pt>
                <c:pt idx="5">
                  <c:v>ดีเซล</c:v>
                </c:pt>
                <c:pt idx="6">
                  <c:v>พรีเมียมดีเซล S</c:v>
                </c:pt>
              </c:strCache>
            </c:strRef>
          </c:cat>
          <c:val>
            <c:numRef>
              <c:f>DashBoard!$B$23:$B$30</c:f>
              <c:numCache>
                <c:formatCode>0.00</c:formatCode>
                <c:ptCount val="7"/>
                <c:pt idx="0">
                  <c:v>33.159999999999997</c:v>
                </c:pt>
                <c:pt idx="1">
                  <c:v>32.050000000000004</c:v>
                </c:pt>
                <c:pt idx="2">
                  <c:v>34.989999999999995</c:v>
                </c:pt>
                <c:pt idx="3">
                  <c:v>35.36</c:v>
                </c:pt>
                <c:pt idx="4">
                  <c:v>49.790000000000006</c:v>
                </c:pt>
                <c:pt idx="5">
                  <c:v>32.89</c:v>
                </c:pt>
                <c:pt idx="6">
                  <c:v>47.089999999999989</c:v>
                </c:pt>
              </c:numCache>
            </c:numRef>
          </c:val>
          <c:extLst>
            <c:ext xmlns:c16="http://schemas.microsoft.com/office/drawing/2014/chart" uri="{C3380CC4-5D6E-409C-BE32-E72D297353CC}">
              <c16:uniqueId val="{00000000-19E9-4C50-8CE5-7AC27AA8157F}"/>
            </c:ext>
          </c:extLst>
        </c:ser>
        <c:dLbls>
          <c:dLblPos val="ctr"/>
          <c:showLegendKey val="0"/>
          <c:showVal val="1"/>
          <c:showCatName val="0"/>
          <c:showSerName val="0"/>
          <c:showPercent val="0"/>
          <c:showBubbleSize val="0"/>
        </c:dLbls>
        <c:gapWidth val="79"/>
        <c:overlap val="100"/>
        <c:axId val="2062077023"/>
        <c:axId val="2065196111"/>
      </c:barChart>
      <c:catAx>
        <c:axId val="206207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65196111"/>
        <c:crosses val="autoZero"/>
        <c:auto val="1"/>
        <c:lblAlgn val="ctr"/>
        <c:lblOffset val="100"/>
        <c:noMultiLvlLbl val="0"/>
      </c:catAx>
      <c:valAx>
        <c:axId val="2065196111"/>
        <c:scaling>
          <c:orientation val="minMax"/>
        </c:scaling>
        <c:delete val="1"/>
        <c:axPos val="l"/>
        <c:numFmt formatCode="0.00" sourceLinked="1"/>
        <c:majorTickMark val="none"/>
        <c:minorTickMark val="none"/>
        <c:tickLblPos val="nextTo"/>
        <c:crossAx val="206207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5521</xdr:colOff>
      <xdr:row>2</xdr:row>
      <xdr:rowOff>17707</xdr:rowOff>
    </xdr:from>
    <xdr:to>
      <xdr:col>9</xdr:col>
      <xdr:colOff>14942</xdr:colOff>
      <xdr:row>14</xdr:row>
      <xdr:rowOff>7471</xdr:rowOff>
    </xdr:to>
    <xdr:graphicFrame macro="">
      <xdr:nvGraphicFramePr>
        <xdr:cNvPr id="2" name="Chart 1">
          <a:extLst>
            <a:ext uri="{FF2B5EF4-FFF2-40B4-BE49-F238E27FC236}">
              <a16:creationId xmlns:a16="http://schemas.microsoft.com/office/drawing/2014/main" id="{7FC834DB-1D43-4009-9226-DFE3722E2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22696</xdr:colOff>
      <xdr:row>2</xdr:row>
      <xdr:rowOff>1932</xdr:rowOff>
    </xdr:from>
    <xdr:ext cx="1793404" cy="2239243"/>
    <mc:AlternateContent xmlns:mc="http://schemas.openxmlformats.org/markup-compatibility/2006" xmlns:a14="http://schemas.microsoft.com/office/drawing/2010/main">
      <mc:Choice Requires="a14">
        <xdr:graphicFrame macro="">
          <xdr:nvGraphicFramePr>
            <xdr:cNvPr id="3" name="FuelType">
              <a:extLst>
                <a:ext uri="{FF2B5EF4-FFF2-40B4-BE49-F238E27FC236}">
                  <a16:creationId xmlns:a16="http://schemas.microsoft.com/office/drawing/2014/main" id="{8E812F07-5B43-4D57-AEF8-23E6927DA0D1}"/>
                </a:ext>
              </a:extLst>
            </xdr:cNvPr>
            <xdr:cNvGraphicFramePr/>
          </xdr:nvGraphicFramePr>
          <xdr:xfrm>
            <a:off x="0" y="0"/>
            <a:ext cx="0" cy="0"/>
          </xdr:xfrm>
          <a:graphic>
            <a:graphicData uri="http://schemas.microsoft.com/office/drawing/2010/slicer">
              <sle:slicer xmlns:sle="http://schemas.microsoft.com/office/drawing/2010/slicer" name="FuelType"/>
            </a:graphicData>
          </a:graphic>
        </xdr:graphicFrame>
      </mc:Choice>
      <mc:Fallback xmlns="">
        <xdr:sp macro="" textlink="">
          <xdr:nvSpPr>
            <xdr:cNvPr id="0" name=""/>
            <xdr:cNvSpPr>
              <a:spLocks noTextEdit="1"/>
            </xdr:cNvSpPr>
          </xdr:nvSpPr>
          <xdr:spPr>
            <a:xfrm>
              <a:off x="6291878" y="382932"/>
              <a:ext cx="1212550" cy="2239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14941</xdr:colOff>
      <xdr:row>14</xdr:row>
      <xdr:rowOff>21320</xdr:rowOff>
    </xdr:from>
    <xdr:to>
      <xdr:col>12</xdr:col>
      <xdr:colOff>0</xdr:colOff>
      <xdr:row>30</xdr:row>
      <xdr:rowOff>0</xdr:rowOff>
    </xdr:to>
    <xdr:graphicFrame macro="">
      <xdr:nvGraphicFramePr>
        <xdr:cNvPr id="4" name="Chart 3">
          <a:extLst>
            <a:ext uri="{FF2B5EF4-FFF2-40B4-BE49-F238E27FC236}">
              <a16:creationId xmlns:a16="http://schemas.microsoft.com/office/drawing/2014/main" id="{4E57D63B-EF7F-4FF0-9F86-DCA53CA26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16240</xdr:colOff>
      <xdr:row>2</xdr:row>
      <xdr:rowOff>88348</xdr:rowOff>
    </xdr:from>
    <xdr:to>
      <xdr:col>7</xdr:col>
      <xdr:colOff>67161</xdr:colOff>
      <xdr:row>5</xdr:row>
      <xdr:rowOff>16566</xdr:rowOff>
    </xdr:to>
    <xdr:pic>
      <xdr:nvPicPr>
        <xdr:cNvPr id="5" name="Picture 4">
          <a:extLst>
            <a:ext uri="{FF2B5EF4-FFF2-40B4-BE49-F238E27FC236}">
              <a16:creationId xmlns:a16="http://schemas.microsoft.com/office/drawing/2014/main" id="{E50015AD-305B-405A-A828-4C75C3B3D64F}"/>
            </a:ext>
          </a:extLst>
        </xdr:cNvPr>
        <xdr:cNvPicPr>
          <a:picLocks noChangeAspect="1"/>
        </xdr:cNvPicPr>
      </xdr:nvPicPr>
      <xdr:blipFill rotWithShape="1">
        <a:blip xmlns:r="http://schemas.openxmlformats.org/officeDocument/2006/relationships" r:embed="rId3"/>
        <a:srcRect t="12703" b="26323"/>
        <a:stretch/>
      </xdr:blipFill>
      <xdr:spPr>
        <a:xfrm>
          <a:off x="3206181" y="469348"/>
          <a:ext cx="1888686" cy="488512"/>
        </a:xfrm>
        <a:prstGeom prst="rect">
          <a:avLst/>
        </a:prstGeom>
      </xdr:spPr>
    </xdr:pic>
    <xdr:clientData/>
  </xdr:twoCellAnchor>
  <xdr:twoCellAnchor editAs="oneCell">
    <xdr:from>
      <xdr:col>0</xdr:col>
      <xdr:colOff>0</xdr:colOff>
      <xdr:row>14</xdr:row>
      <xdr:rowOff>4110</xdr:rowOff>
    </xdr:from>
    <xdr:to>
      <xdr:col>2</xdr:col>
      <xdr:colOff>7471</xdr:colOff>
      <xdr:row>21</xdr:row>
      <xdr:rowOff>0</xdr:rowOff>
    </xdr:to>
    <mc:AlternateContent xmlns:mc="http://schemas.openxmlformats.org/markup-compatibility/2006" xmlns:tsle="http://schemas.microsoft.com/office/drawing/2012/timeslicer">
      <mc:Choice Requires="tsle">
        <xdr:graphicFrame macro="">
          <xdr:nvGraphicFramePr>
            <xdr:cNvPr id="6" name="วันที่">
              <a:extLst>
                <a:ext uri="{FF2B5EF4-FFF2-40B4-BE49-F238E27FC236}">
                  <a16:creationId xmlns:a16="http://schemas.microsoft.com/office/drawing/2014/main" id="{AF81AEC7-C5D2-4A9D-ABAD-D9366A0317C1}"/>
                </a:ext>
              </a:extLst>
            </xdr:cNvPr>
            <xdr:cNvGraphicFramePr/>
          </xdr:nvGraphicFramePr>
          <xdr:xfrm>
            <a:off x="0" y="0"/>
            <a:ext cx="0" cy="0"/>
          </xdr:xfrm>
          <a:graphic>
            <a:graphicData uri="http://schemas.microsoft.com/office/drawing/2012/timeslicer">
              <tsle:timeslicer name="วันที่"/>
            </a:graphicData>
          </a:graphic>
        </xdr:graphicFrame>
      </mc:Choice>
      <mc:Fallback xmlns="">
        <xdr:sp macro="" textlink="">
          <xdr:nvSpPr>
            <xdr:cNvPr id="0" name=""/>
            <xdr:cNvSpPr>
              <a:spLocks noTextEdit="1"/>
            </xdr:cNvSpPr>
          </xdr:nvSpPr>
          <xdr:spPr>
            <a:xfrm>
              <a:off x="0" y="2601837"/>
              <a:ext cx="1993289" cy="12889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14</xdr:row>
      <xdr:rowOff>0</xdr:rowOff>
    </xdr:from>
    <xdr:to>
      <xdr:col>11</xdr:col>
      <xdr:colOff>7470</xdr:colOff>
      <xdr:row>14</xdr:row>
      <xdr:rowOff>7471</xdr:rowOff>
    </xdr:to>
    <xdr:cxnSp macro="">
      <xdr:nvCxnSpPr>
        <xdr:cNvPr id="8" name="Straight Connector 7">
          <a:extLst>
            <a:ext uri="{FF2B5EF4-FFF2-40B4-BE49-F238E27FC236}">
              <a16:creationId xmlns:a16="http://schemas.microsoft.com/office/drawing/2014/main" id="{FF9B0896-AD92-4D57-BC4A-8AB62EA81C8A}"/>
            </a:ext>
          </a:extLst>
        </xdr:cNvPr>
        <xdr:cNvCxnSpPr/>
      </xdr:nvCxnSpPr>
      <xdr:spPr>
        <a:xfrm flipH="1" flipV="1">
          <a:off x="0" y="2622176"/>
          <a:ext cx="7507941" cy="7471"/>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tarathorn" refreshedDate="45979.631414699077" createdVersion="6" refreshedVersion="6" minRefreshableVersion="3" recordCount="196" xr:uid="{0F275EB4-312B-4014-9FB7-F15EE95EA029}">
  <cacheSource type="worksheet">
    <worksheetSource name="Table_1"/>
  </cacheSource>
  <cacheFields count="4">
    <cacheField name="วันที่" numFmtId="14">
      <sharedItems containsSemiMixedTypes="0" containsNonDate="0" containsDate="1" containsString="0" minDate="2025-01-03T00:00:00" maxDate="2025-10-22T00:00:00" count="28">
        <d v="2025-10-21T00:00:00"/>
        <d v="2025-10-04T00:00:00"/>
        <d v="2025-09-24T00:00:00"/>
        <d v="2025-08-22T00:00:00"/>
        <d v="2025-08-09T00:00:00"/>
        <d v="2025-08-06T00:00:00"/>
        <d v="2025-08-05T00:00:00"/>
        <d v="2025-08-01T00:00:00"/>
        <d v="2025-07-24T00:00:00"/>
        <d v="2025-07-02T00:00:00"/>
        <d v="2025-06-26T00:00:00"/>
        <d v="2025-06-24T00:00:00"/>
        <d v="2025-06-20T00:00:00"/>
        <d v="2025-06-13T00:00:00"/>
        <d v="2025-05-22T00:00:00"/>
        <d v="2025-04-12T00:00:00"/>
        <d v="2025-04-09T00:00:00"/>
        <d v="2025-04-04T00:00:00"/>
        <d v="2025-03-28T00:00:00"/>
        <d v="2025-03-11T00:00:00"/>
        <d v="2025-03-06T00:00:00"/>
        <d v="2025-02-28T00:00:00"/>
        <d v="2025-02-20T00:00:00"/>
        <d v="2025-02-06T00:00:00"/>
        <d v="2025-01-23T00:00:00"/>
        <d v="2025-01-15T00:00:00"/>
        <d v="2025-01-11T00:00:00"/>
        <d v="2025-01-03T00:00:00"/>
      </sharedItems>
      <fieldGroup par="3" base="0">
        <rangePr groupBy="days" startDate="2025-01-03T00:00:00" endDate="2025-10-22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10/2025"/>
        </groupItems>
      </fieldGroup>
    </cacheField>
    <cacheField name="FuelType" numFmtId="0">
      <sharedItems count="7">
        <s v="พรีเมียมดีเซล S"/>
        <s v="ดีเซล"/>
        <s v="เบนซิน 97"/>
        <s v="E85"/>
        <s v="E20"/>
        <s v="Gasohol 91"/>
        <s v="Gasohol 95"/>
      </sharedItems>
    </cacheField>
    <cacheField name="Price" numFmtId="0">
      <sharedItems containsSemiMixedTypes="0" containsString="0" containsNumber="1" minValue="27.59" maxValue="49.84" count="82">
        <n v="45.64"/>
        <n v="30.94"/>
        <n v="49.54"/>
        <n v="27.59"/>
        <n v="29.64"/>
        <n v="31.48"/>
        <n v="31.85"/>
        <n v="31.44"/>
        <n v="49.84"/>
        <n v="27.89"/>
        <n v="29.94"/>
        <n v="31.78"/>
        <n v="32.15"/>
        <n v="46.14"/>
        <n v="31.94"/>
        <n v="28.39"/>
        <n v="30.44"/>
        <n v="32.28"/>
        <n v="32.65"/>
        <n v="28.69"/>
        <n v="30.74"/>
        <n v="32.58"/>
        <n v="32.950000000000003"/>
        <n v="30.34"/>
        <n v="32.18"/>
        <n v="32.549999999999997"/>
        <n v="28.99"/>
        <n v="30.64"/>
        <n v="32.479999999999997"/>
        <n v="32.85"/>
        <n v="29.39"/>
        <n v="31.04"/>
        <n v="32.880000000000003"/>
        <n v="33.25"/>
        <n v="28.59"/>
        <n v="30.24"/>
        <n v="32.08"/>
        <n v="32.450000000000003"/>
        <n v="29.29"/>
        <n v="32.78"/>
        <n v="33.15"/>
        <n v="29.79"/>
        <n v="33.28"/>
        <n v="33.65"/>
        <n v="49.24"/>
        <n v="29.09"/>
        <n v="48.84"/>
        <n v="46.64"/>
        <n v="32.44"/>
        <n v="49.34"/>
        <n v="30.29"/>
        <n v="33.78"/>
        <n v="34.15"/>
        <n v="47.14"/>
        <n v="32.94"/>
        <n v="30.79"/>
        <n v="34.28"/>
        <n v="34.65"/>
        <n v="31.19"/>
        <n v="32.74"/>
        <n v="34.58"/>
        <n v="34.950000000000003"/>
        <n v="31.69"/>
        <n v="33.14"/>
        <n v="34.979999999999997"/>
        <n v="35.35"/>
        <n v="32.090000000000003"/>
        <n v="33.44"/>
        <n v="35.28"/>
        <n v="35.65"/>
        <n v="32.590000000000003"/>
        <n v="33.54"/>
        <n v="35.380000000000003"/>
        <n v="35.75"/>
        <n v="33.090000000000003"/>
        <n v="33.94"/>
        <n v="35.78"/>
        <n v="36.15"/>
        <n v="33.590000000000003"/>
        <n v="33.840000000000003"/>
        <n v="35.58"/>
        <n v="35.950000000000003"/>
      </sharedItems>
    </cacheField>
    <cacheField name="Months" numFmtId="0" databaseField="0">
      <fieldGroup base="0">
        <rangePr groupBy="months" startDate="2025-01-03T00:00:00" endDate="2025-10-22T00:00:00"/>
        <groupItems count="14">
          <s v="&lt;03/01/2025"/>
          <s v="Jan"/>
          <s v="Feb"/>
          <s v="Mar"/>
          <s v="Apr"/>
          <s v="May"/>
          <s v="Jun"/>
          <s v="Jul"/>
          <s v="Aug"/>
          <s v="Sep"/>
          <s v="Oct"/>
          <s v="Nov"/>
          <s v="Dec"/>
          <s v="&gt;22/10/2025"/>
        </groupItems>
      </fieldGroup>
    </cacheField>
  </cacheFields>
  <extLst>
    <ext xmlns:x14="http://schemas.microsoft.com/office/spreadsheetml/2009/9/main" uri="{725AE2AE-9491-48be-B2B4-4EB974FC3084}">
      <x14:pivotCacheDefinition pivotCacheId="1882411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x v="0"/>
    <x v="0"/>
  </r>
  <r>
    <x v="0"/>
    <x v="1"/>
    <x v="1"/>
  </r>
  <r>
    <x v="0"/>
    <x v="2"/>
    <x v="2"/>
  </r>
  <r>
    <x v="0"/>
    <x v="3"/>
    <x v="3"/>
  </r>
  <r>
    <x v="0"/>
    <x v="4"/>
    <x v="4"/>
  </r>
  <r>
    <x v="0"/>
    <x v="5"/>
    <x v="5"/>
  </r>
  <r>
    <x v="0"/>
    <x v="6"/>
    <x v="6"/>
  </r>
  <r>
    <x v="1"/>
    <x v="0"/>
    <x v="0"/>
  </r>
  <r>
    <x v="1"/>
    <x v="1"/>
    <x v="7"/>
  </r>
  <r>
    <x v="1"/>
    <x v="2"/>
    <x v="8"/>
  </r>
  <r>
    <x v="1"/>
    <x v="3"/>
    <x v="9"/>
  </r>
  <r>
    <x v="1"/>
    <x v="4"/>
    <x v="10"/>
  </r>
  <r>
    <x v="1"/>
    <x v="5"/>
    <x v="11"/>
  </r>
  <r>
    <x v="1"/>
    <x v="6"/>
    <x v="12"/>
  </r>
  <r>
    <x v="2"/>
    <x v="0"/>
    <x v="13"/>
  </r>
  <r>
    <x v="2"/>
    <x v="1"/>
    <x v="14"/>
  </r>
  <r>
    <x v="2"/>
    <x v="2"/>
    <x v="8"/>
  </r>
  <r>
    <x v="2"/>
    <x v="3"/>
    <x v="15"/>
  </r>
  <r>
    <x v="2"/>
    <x v="4"/>
    <x v="16"/>
  </r>
  <r>
    <x v="2"/>
    <x v="5"/>
    <x v="17"/>
  </r>
  <r>
    <x v="2"/>
    <x v="6"/>
    <x v="18"/>
  </r>
  <r>
    <x v="3"/>
    <x v="0"/>
    <x v="13"/>
  </r>
  <r>
    <x v="3"/>
    <x v="1"/>
    <x v="14"/>
  </r>
  <r>
    <x v="3"/>
    <x v="2"/>
    <x v="8"/>
  </r>
  <r>
    <x v="3"/>
    <x v="3"/>
    <x v="19"/>
  </r>
  <r>
    <x v="3"/>
    <x v="4"/>
    <x v="20"/>
  </r>
  <r>
    <x v="3"/>
    <x v="5"/>
    <x v="21"/>
  </r>
  <r>
    <x v="3"/>
    <x v="6"/>
    <x v="22"/>
  </r>
  <r>
    <x v="4"/>
    <x v="0"/>
    <x v="13"/>
  </r>
  <r>
    <x v="4"/>
    <x v="1"/>
    <x v="14"/>
  </r>
  <r>
    <x v="4"/>
    <x v="2"/>
    <x v="8"/>
  </r>
  <r>
    <x v="4"/>
    <x v="3"/>
    <x v="19"/>
  </r>
  <r>
    <x v="4"/>
    <x v="4"/>
    <x v="23"/>
  </r>
  <r>
    <x v="4"/>
    <x v="5"/>
    <x v="24"/>
  </r>
  <r>
    <x v="4"/>
    <x v="6"/>
    <x v="25"/>
  </r>
  <r>
    <x v="5"/>
    <x v="0"/>
    <x v="13"/>
  </r>
  <r>
    <x v="5"/>
    <x v="1"/>
    <x v="14"/>
  </r>
  <r>
    <x v="5"/>
    <x v="2"/>
    <x v="8"/>
  </r>
  <r>
    <x v="5"/>
    <x v="3"/>
    <x v="26"/>
  </r>
  <r>
    <x v="5"/>
    <x v="4"/>
    <x v="27"/>
  </r>
  <r>
    <x v="5"/>
    <x v="5"/>
    <x v="28"/>
  </r>
  <r>
    <x v="5"/>
    <x v="6"/>
    <x v="29"/>
  </r>
  <r>
    <x v="6"/>
    <x v="0"/>
    <x v="13"/>
  </r>
  <r>
    <x v="6"/>
    <x v="1"/>
    <x v="14"/>
  </r>
  <r>
    <x v="6"/>
    <x v="2"/>
    <x v="8"/>
  </r>
  <r>
    <x v="6"/>
    <x v="3"/>
    <x v="30"/>
  </r>
  <r>
    <x v="6"/>
    <x v="4"/>
    <x v="31"/>
  </r>
  <r>
    <x v="6"/>
    <x v="5"/>
    <x v="32"/>
  </r>
  <r>
    <x v="6"/>
    <x v="6"/>
    <x v="33"/>
  </r>
  <r>
    <x v="7"/>
    <x v="0"/>
    <x v="13"/>
  </r>
  <r>
    <x v="7"/>
    <x v="1"/>
    <x v="14"/>
  </r>
  <r>
    <x v="7"/>
    <x v="2"/>
    <x v="8"/>
  </r>
  <r>
    <x v="7"/>
    <x v="3"/>
    <x v="26"/>
  </r>
  <r>
    <x v="7"/>
    <x v="4"/>
    <x v="27"/>
  </r>
  <r>
    <x v="7"/>
    <x v="5"/>
    <x v="28"/>
  </r>
  <r>
    <x v="7"/>
    <x v="6"/>
    <x v="29"/>
  </r>
  <r>
    <x v="8"/>
    <x v="0"/>
    <x v="13"/>
  </r>
  <r>
    <x v="8"/>
    <x v="1"/>
    <x v="14"/>
  </r>
  <r>
    <x v="8"/>
    <x v="2"/>
    <x v="8"/>
  </r>
  <r>
    <x v="8"/>
    <x v="3"/>
    <x v="34"/>
  </r>
  <r>
    <x v="8"/>
    <x v="4"/>
    <x v="35"/>
  </r>
  <r>
    <x v="8"/>
    <x v="5"/>
    <x v="36"/>
  </r>
  <r>
    <x v="8"/>
    <x v="6"/>
    <x v="37"/>
  </r>
  <r>
    <x v="9"/>
    <x v="0"/>
    <x v="13"/>
  </r>
  <r>
    <x v="9"/>
    <x v="1"/>
    <x v="14"/>
  </r>
  <r>
    <x v="9"/>
    <x v="2"/>
    <x v="8"/>
  </r>
  <r>
    <x v="9"/>
    <x v="3"/>
    <x v="26"/>
  </r>
  <r>
    <x v="9"/>
    <x v="4"/>
    <x v="27"/>
  </r>
  <r>
    <x v="9"/>
    <x v="5"/>
    <x v="28"/>
  </r>
  <r>
    <x v="9"/>
    <x v="6"/>
    <x v="29"/>
  </r>
  <r>
    <x v="10"/>
    <x v="0"/>
    <x v="13"/>
  </r>
  <r>
    <x v="10"/>
    <x v="1"/>
    <x v="14"/>
  </r>
  <r>
    <x v="10"/>
    <x v="2"/>
    <x v="8"/>
  </r>
  <r>
    <x v="10"/>
    <x v="3"/>
    <x v="38"/>
  </r>
  <r>
    <x v="10"/>
    <x v="4"/>
    <x v="1"/>
  </r>
  <r>
    <x v="10"/>
    <x v="5"/>
    <x v="39"/>
  </r>
  <r>
    <x v="10"/>
    <x v="6"/>
    <x v="40"/>
  </r>
  <r>
    <x v="11"/>
    <x v="0"/>
    <x v="13"/>
  </r>
  <r>
    <x v="11"/>
    <x v="1"/>
    <x v="14"/>
  </r>
  <r>
    <x v="11"/>
    <x v="2"/>
    <x v="8"/>
  </r>
  <r>
    <x v="11"/>
    <x v="3"/>
    <x v="41"/>
  </r>
  <r>
    <x v="11"/>
    <x v="4"/>
    <x v="7"/>
  </r>
  <r>
    <x v="11"/>
    <x v="5"/>
    <x v="42"/>
  </r>
  <r>
    <x v="11"/>
    <x v="6"/>
    <x v="43"/>
  </r>
  <r>
    <x v="12"/>
    <x v="0"/>
    <x v="13"/>
  </r>
  <r>
    <x v="12"/>
    <x v="1"/>
    <x v="14"/>
  </r>
  <r>
    <x v="12"/>
    <x v="2"/>
    <x v="2"/>
  </r>
  <r>
    <x v="12"/>
    <x v="3"/>
    <x v="30"/>
  </r>
  <r>
    <x v="12"/>
    <x v="4"/>
    <x v="31"/>
  </r>
  <r>
    <x v="12"/>
    <x v="5"/>
    <x v="32"/>
  </r>
  <r>
    <x v="12"/>
    <x v="6"/>
    <x v="33"/>
  </r>
  <r>
    <x v="13"/>
    <x v="0"/>
    <x v="13"/>
  </r>
  <r>
    <x v="13"/>
    <x v="1"/>
    <x v="14"/>
  </r>
  <r>
    <x v="13"/>
    <x v="2"/>
    <x v="44"/>
  </r>
  <r>
    <x v="13"/>
    <x v="3"/>
    <x v="45"/>
  </r>
  <r>
    <x v="13"/>
    <x v="4"/>
    <x v="20"/>
  </r>
  <r>
    <x v="13"/>
    <x v="5"/>
    <x v="21"/>
  </r>
  <r>
    <x v="13"/>
    <x v="6"/>
    <x v="22"/>
  </r>
  <r>
    <x v="14"/>
    <x v="0"/>
    <x v="13"/>
  </r>
  <r>
    <x v="14"/>
    <x v="1"/>
    <x v="14"/>
  </r>
  <r>
    <x v="14"/>
    <x v="2"/>
    <x v="46"/>
  </r>
  <r>
    <x v="14"/>
    <x v="3"/>
    <x v="19"/>
  </r>
  <r>
    <x v="14"/>
    <x v="4"/>
    <x v="23"/>
  </r>
  <r>
    <x v="14"/>
    <x v="5"/>
    <x v="24"/>
  </r>
  <r>
    <x v="14"/>
    <x v="6"/>
    <x v="25"/>
  </r>
  <r>
    <x v="15"/>
    <x v="0"/>
    <x v="13"/>
  </r>
  <r>
    <x v="15"/>
    <x v="1"/>
    <x v="14"/>
  </r>
  <r>
    <x v="15"/>
    <x v="2"/>
    <x v="46"/>
  </r>
  <r>
    <x v="15"/>
    <x v="3"/>
    <x v="26"/>
  </r>
  <r>
    <x v="15"/>
    <x v="4"/>
    <x v="27"/>
  </r>
  <r>
    <x v="15"/>
    <x v="5"/>
    <x v="28"/>
  </r>
  <r>
    <x v="15"/>
    <x v="6"/>
    <x v="29"/>
  </r>
  <r>
    <x v="16"/>
    <x v="0"/>
    <x v="13"/>
  </r>
  <r>
    <x v="16"/>
    <x v="1"/>
    <x v="14"/>
  </r>
  <r>
    <x v="16"/>
    <x v="2"/>
    <x v="46"/>
  </r>
  <r>
    <x v="16"/>
    <x v="3"/>
    <x v="38"/>
  </r>
  <r>
    <x v="16"/>
    <x v="4"/>
    <x v="1"/>
  </r>
  <r>
    <x v="16"/>
    <x v="5"/>
    <x v="39"/>
  </r>
  <r>
    <x v="16"/>
    <x v="6"/>
    <x v="40"/>
  </r>
  <r>
    <x v="17"/>
    <x v="0"/>
    <x v="13"/>
  </r>
  <r>
    <x v="17"/>
    <x v="1"/>
    <x v="14"/>
  </r>
  <r>
    <x v="17"/>
    <x v="2"/>
    <x v="46"/>
  </r>
  <r>
    <x v="17"/>
    <x v="3"/>
    <x v="41"/>
  </r>
  <r>
    <x v="17"/>
    <x v="4"/>
    <x v="7"/>
  </r>
  <r>
    <x v="17"/>
    <x v="5"/>
    <x v="42"/>
  </r>
  <r>
    <x v="17"/>
    <x v="6"/>
    <x v="43"/>
  </r>
  <r>
    <x v="18"/>
    <x v="0"/>
    <x v="47"/>
  </r>
  <r>
    <x v="18"/>
    <x v="1"/>
    <x v="48"/>
  </r>
  <r>
    <x v="18"/>
    <x v="2"/>
    <x v="49"/>
  </r>
  <r>
    <x v="18"/>
    <x v="3"/>
    <x v="50"/>
  </r>
  <r>
    <x v="18"/>
    <x v="4"/>
    <x v="14"/>
  </r>
  <r>
    <x v="18"/>
    <x v="5"/>
    <x v="51"/>
  </r>
  <r>
    <x v="18"/>
    <x v="6"/>
    <x v="52"/>
  </r>
  <r>
    <x v="19"/>
    <x v="0"/>
    <x v="53"/>
  </r>
  <r>
    <x v="19"/>
    <x v="1"/>
    <x v="54"/>
  </r>
  <r>
    <x v="19"/>
    <x v="2"/>
    <x v="8"/>
  </r>
  <r>
    <x v="19"/>
    <x v="3"/>
    <x v="55"/>
  </r>
  <r>
    <x v="19"/>
    <x v="4"/>
    <x v="48"/>
  </r>
  <r>
    <x v="19"/>
    <x v="5"/>
    <x v="56"/>
  </r>
  <r>
    <x v="19"/>
    <x v="6"/>
    <x v="57"/>
  </r>
  <r>
    <x v="20"/>
    <x v="0"/>
    <x v="53"/>
  </r>
  <r>
    <x v="20"/>
    <x v="1"/>
    <x v="54"/>
  </r>
  <r>
    <x v="20"/>
    <x v="2"/>
    <x v="8"/>
  </r>
  <r>
    <x v="20"/>
    <x v="3"/>
    <x v="58"/>
  </r>
  <r>
    <x v="20"/>
    <x v="4"/>
    <x v="59"/>
  </r>
  <r>
    <x v="20"/>
    <x v="5"/>
    <x v="60"/>
  </r>
  <r>
    <x v="20"/>
    <x v="6"/>
    <x v="61"/>
  </r>
  <r>
    <x v="21"/>
    <x v="0"/>
    <x v="53"/>
  </r>
  <r>
    <x v="21"/>
    <x v="1"/>
    <x v="54"/>
  </r>
  <r>
    <x v="21"/>
    <x v="2"/>
    <x v="8"/>
  </r>
  <r>
    <x v="21"/>
    <x v="3"/>
    <x v="62"/>
  </r>
  <r>
    <x v="21"/>
    <x v="4"/>
    <x v="63"/>
  </r>
  <r>
    <x v="21"/>
    <x v="5"/>
    <x v="64"/>
  </r>
  <r>
    <x v="21"/>
    <x v="6"/>
    <x v="65"/>
  </r>
  <r>
    <x v="22"/>
    <x v="0"/>
    <x v="53"/>
  </r>
  <r>
    <x v="22"/>
    <x v="1"/>
    <x v="54"/>
  </r>
  <r>
    <x v="22"/>
    <x v="2"/>
    <x v="8"/>
  </r>
  <r>
    <x v="22"/>
    <x v="3"/>
    <x v="66"/>
  </r>
  <r>
    <x v="22"/>
    <x v="4"/>
    <x v="67"/>
  </r>
  <r>
    <x v="22"/>
    <x v="5"/>
    <x v="68"/>
  </r>
  <r>
    <x v="22"/>
    <x v="6"/>
    <x v="69"/>
  </r>
  <r>
    <x v="23"/>
    <x v="0"/>
    <x v="53"/>
  </r>
  <r>
    <x v="23"/>
    <x v="1"/>
    <x v="54"/>
  </r>
  <r>
    <x v="23"/>
    <x v="2"/>
    <x v="8"/>
  </r>
  <r>
    <x v="23"/>
    <x v="3"/>
    <x v="66"/>
  </r>
  <r>
    <x v="23"/>
    <x v="4"/>
    <x v="63"/>
  </r>
  <r>
    <x v="23"/>
    <x v="5"/>
    <x v="64"/>
  </r>
  <r>
    <x v="23"/>
    <x v="6"/>
    <x v="65"/>
  </r>
  <r>
    <x v="24"/>
    <x v="0"/>
    <x v="53"/>
  </r>
  <r>
    <x v="24"/>
    <x v="1"/>
    <x v="54"/>
  </r>
  <r>
    <x v="24"/>
    <x v="2"/>
    <x v="8"/>
  </r>
  <r>
    <x v="24"/>
    <x v="3"/>
    <x v="70"/>
  </r>
  <r>
    <x v="24"/>
    <x v="4"/>
    <x v="71"/>
  </r>
  <r>
    <x v="24"/>
    <x v="5"/>
    <x v="72"/>
  </r>
  <r>
    <x v="24"/>
    <x v="6"/>
    <x v="73"/>
  </r>
  <r>
    <x v="25"/>
    <x v="0"/>
    <x v="53"/>
  </r>
  <r>
    <x v="25"/>
    <x v="1"/>
    <x v="54"/>
  </r>
  <r>
    <x v="25"/>
    <x v="2"/>
    <x v="8"/>
  </r>
  <r>
    <x v="25"/>
    <x v="3"/>
    <x v="74"/>
  </r>
  <r>
    <x v="25"/>
    <x v="4"/>
    <x v="75"/>
  </r>
  <r>
    <x v="25"/>
    <x v="5"/>
    <x v="76"/>
  </r>
  <r>
    <x v="25"/>
    <x v="6"/>
    <x v="77"/>
  </r>
  <r>
    <x v="26"/>
    <x v="0"/>
    <x v="53"/>
  </r>
  <r>
    <x v="26"/>
    <x v="1"/>
    <x v="54"/>
  </r>
  <r>
    <x v="26"/>
    <x v="2"/>
    <x v="8"/>
  </r>
  <r>
    <x v="26"/>
    <x v="3"/>
    <x v="74"/>
  </r>
  <r>
    <x v="26"/>
    <x v="4"/>
    <x v="67"/>
  </r>
  <r>
    <x v="26"/>
    <x v="5"/>
    <x v="68"/>
  </r>
  <r>
    <x v="26"/>
    <x v="6"/>
    <x v="69"/>
  </r>
  <r>
    <x v="27"/>
    <x v="0"/>
    <x v="53"/>
  </r>
  <r>
    <x v="27"/>
    <x v="1"/>
    <x v="54"/>
  </r>
  <r>
    <x v="27"/>
    <x v="2"/>
    <x v="8"/>
  </r>
  <r>
    <x v="27"/>
    <x v="3"/>
    <x v="78"/>
  </r>
  <r>
    <x v="27"/>
    <x v="4"/>
    <x v="79"/>
  </r>
  <r>
    <x v="27"/>
    <x v="5"/>
    <x v="80"/>
  </r>
  <r>
    <x v="27"/>
    <x v="6"/>
    <x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3A331-53B8-4F7F-B035-33757CF91551}" name="PivotTable1" cacheId="0" applyNumberFormats="0" applyBorderFormats="0" applyFontFormats="0" applyPatternFormats="0" applyAlignmentFormats="0" applyWidthHeightFormats="1" dataCaption="Values" grandTotalCaption="Average Price" updatedVersion="6" minRefreshableVersion="3" useAutoFormatting="1" itemPrintTitles="1" createdVersion="6" indent="0" outline="1" outlineData="1" multipleFieldFilters="0" chartFormat="11">
  <location ref="A3:B14" firstHeaderRow="1" firstDataRow="1" firstDataCol="1"/>
  <pivotFields count="4">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3"/>
        <item x="5"/>
        <item x="6"/>
        <item x="2"/>
        <item x="1"/>
        <item x="0"/>
        <item t="default"/>
      </items>
    </pivotField>
    <pivotField dataField="1" showAll="0">
      <items count="83">
        <item x="3"/>
        <item x="9"/>
        <item x="15"/>
        <item x="34"/>
        <item x="19"/>
        <item x="26"/>
        <item x="45"/>
        <item x="38"/>
        <item x="30"/>
        <item x="4"/>
        <item x="41"/>
        <item x="10"/>
        <item x="35"/>
        <item x="50"/>
        <item x="23"/>
        <item x="16"/>
        <item x="27"/>
        <item x="20"/>
        <item x="55"/>
        <item x="1"/>
        <item x="31"/>
        <item x="58"/>
        <item x="7"/>
        <item x="5"/>
        <item x="62"/>
        <item x="11"/>
        <item x="6"/>
        <item x="14"/>
        <item x="36"/>
        <item x="66"/>
        <item x="12"/>
        <item x="24"/>
        <item x="17"/>
        <item x="48"/>
        <item x="37"/>
        <item x="28"/>
        <item x="25"/>
        <item x="21"/>
        <item x="70"/>
        <item x="18"/>
        <item x="59"/>
        <item x="39"/>
        <item x="29"/>
        <item x="32"/>
        <item x="54"/>
        <item x="22"/>
        <item x="74"/>
        <item x="63"/>
        <item x="40"/>
        <item x="33"/>
        <item x="42"/>
        <item x="67"/>
        <item x="71"/>
        <item x="78"/>
        <item x="43"/>
        <item x="51"/>
        <item x="79"/>
        <item x="75"/>
        <item x="52"/>
        <item x="56"/>
        <item x="60"/>
        <item x="57"/>
        <item x="61"/>
        <item x="64"/>
        <item x="68"/>
        <item x="65"/>
        <item x="72"/>
        <item x="80"/>
        <item x="69"/>
        <item x="73"/>
        <item x="76"/>
        <item x="81"/>
        <item x="77"/>
        <item x="0"/>
        <item x="13"/>
        <item x="47"/>
        <item x="53"/>
        <item x="46"/>
        <item x="44"/>
        <item x="49"/>
        <item x="2"/>
        <item x="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3"/>
    <field x="0"/>
  </rowFields>
  <rowItems count="11">
    <i>
      <x v="1"/>
    </i>
    <i>
      <x v="2"/>
    </i>
    <i>
      <x v="3"/>
    </i>
    <i>
      <x v="4"/>
    </i>
    <i>
      <x v="5"/>
    </i>
    <i>
      <x v="6"/>
    </i>
    <i>
      <x v="7"/>
    </i>
    <i>
      <x v="8"/>
    </i>
    <i>
      <x v="9"/>
    </i>
    <i>
      <x v="10"/>
    </i>
    <i t="grand">
      <x/>
    </i>
  </rowItems>
  <colItems count="1">
    <i/>
  </colItems>
  <dataFields count="1">
    <dataField name="Average of Price" fld="2" subtotal="average" baseField="0" baseItem="3" numFmtId="2"/>
  </dataFields>
  <formats count="2">
    <format dxfId="4">
      <pivotArea collapsedLevelsAreSubtotals="1" fieldPosition="0">
        <references count="1">
          <reference field="3" count="1">
            <x v="3"/>
          </reference>
        </references>
      </pivotArea>
    </format>
    <format dxfId="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66F8FE-D259-421B-97C2-7D63903CAB0B}"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22:B30" firstHeaderRow="1" firstDataRow="1" firstDataCol="1"/>
  <pivotFields count="4">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3"/>
        <item x="5"/>
        <item x="6"/>
        <item x="2"/>
        <item x="1"/>
        <item x="0"/>
        <item t="default"/>
      </items>
    </pivotField>
    <pivotField dataField="1" showAll="0"/>
    <pivotField showAll="0" defaultSubtotal="0"/>
  </pivotFields>
  <rowFields count="1">
    <field x="1"/>
  </rowFields>
  <rowItems count="8">
    <i>
      <x/>
    </i>
    <i>
      <x v="1"/>
    </i>
    <i>
      <x v="2"/>
    </i>
    <i>
      <x v="3"/>
    </i>
    <i>
      <x v="4"/>
    </i>
    <i>
      <x v="5"/>
    </i>
    <i>
      <x v="6"/>
    </i>
    <i t="grand">
      <x/>
    </i>
  </rowItems>
  <colItems count="1">
    <i/>
  </colItems>
  <dataFields count="1">
    <dataField name="Average of Price" fld="2" subtotal="average" baseField="1" baseItem="0" numFmtId="2"/>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0" type="dateBetween" evalOrder="-1" id="42" name="วันที่">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4E997CE-0DA9-4504-8E3A-0019D460234E}" autoFormatId="16" applyNumberFormats="0" applyBorderFormats="0" applyFontFormats="0" applyPatternFormats="0" applyAlignmentFormats="0" applyWidthHeightFormats="0">
  <queryTableRefresh nextId="4">
    <queryTableFields count="3">
      <queryTableField id="1" name="วันที่" tableColumnId="1"/>
      <queryTableField id="2" name="FuelType" tableColumnId="2"/>
      <queryTableField id="3" name="Pric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E8A1D33-9333-44C1-9A22-1D80F7E95976}" autoFormatId="16" applyNumberFormats="0" applyBorderFormats="0" applyFontFormats="0" applyPatternFormats="0" applyAlignmentFormats="0" applyWidthHeightFormats="0">
  <queryTableRefresh nextId="9">
    <queryTableFields count="8">
      <queryTableField id="1" name="วันที่" tableColumnId="1"/>
      <queryTableField id="2" name="บาท/ลิตร" tableColumnId="2"/>
      <queryTableField id="3" name="บาท/ลิตร2" tableColumnId="3"/>
      <queryTableField id="4" name="บาท/ลิตร3" tableColumnId="4"/>
      <queryTableField id="5" name="บาท/ลิตร4" tableColumnId="5"/>
      <queryTableField id="6" name="บาท/ลิตร5" tableColumnId="6"/>
      <queryTableField id="7" name="บาท/ลิตร6" tableColumnId="7"/>
      <queryTableField id="8" name="บาท/ลิตร7"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Type" xr10:uid="{8ACCC376-FB33-4BC9-B9C8-E943FC5C86FB}" sourceName="FuelType">
  <pivotTables>
    <pivotTable tabId="5" name="PivotTable1"/>
  </pivotTables>
  <data>
    <tabular pivotCacheId="1882411237">
      <items count="7">
        <i x="4" s="1"/>
        <i x="3" s="1"/>
        <i x="5" s="1"/>
        <i x="6"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Type" xr10:uid="{93395DB5-A514-4776-871D-5AA191375BF2}" cache="Slicer_FuelType" caption="FuelTyp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F8DCCE-4987-47C3-B34E-E111D0332FC9}" name="Table_1" displayName="Table_1" ref="A1:C197" tableType="queryTable" totalsRowShown="0">
  <autoFilter ref="A1:C197" xr:uid="{9E25942F-A74D-43BF-A4A5-FA6F51757DB5}"/>
  <tableColumns count="3">
    <tableColumn id="1" xr3:uid="{AE074C04-9266-48DC-8DD2-60286A4E7310}" uniqueName="1" name="วันที่" queryTableFieldId="1" dataDxfId="2"/>
    <tableColumn id="2" xr3:uid="{E1FEA672-E04F-457F-99E9-51C0304CF55B}" uniqueName="2" name="FuelType" queryTableFieldId="2" dataDxfId="1"/>
    <tableColumn id="3" xr3:uid="{30EE12A4-7106-4377-B39D-472AC7DF4FA0}" uniqueName="3" name="Price"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3EFEF-A1FF-48AC-A05F-CC27538FBC91}" name="Table_0" displayName="Table_0" ref="A1:H29" tableType="queryTable" totalsRowShown="0">
  <autoFilter ref="A1:H29" xr:uid="{2F15BDA9-FDF6-4984-9545-9E3AF3FDCAF7}"/>
  <tableColumns count="8">
    <tableColumn id="1" xr3:uid="{5F87B125-154B-4DC4-B37C-F5FB4E7CC2EC}" uniqueName="1" name="วันที่" queryTableFieldId="1" dataDxfId="0"/>
    <tableColumn id="2" xr3:uid="{11CAD039-7061-4541-AEA1-21ADD3A4DCFE}" uniqueName="2" name="พรีเมียมดีเซล S" queryTableFieldId="2"/>
    <tableColumn id="3" xr3:uid="{085EE42F-472D-403E-86E8-FD84AE8AE191}" uniqueName="3" name="ดีเซล" queryTableFieldId="3"/>
    <tableColumn id="4" xr3:uid="{E2095495-6CAB-4123-99C0-F26F4CC5474A}" uniqueName="4" name="เบนซิน 97" queryTableFieldId="4"/>
    <tableColumn id="5" xr3:uid="{79390961-D7A2-4B25-8F9A-FF90604820CF}" uniqueName="5" name="E85" queryTableFieldId="5"/>
    <tableColumn id="6" xr3:uid="{F5AB42BA-2946-4973-99BD-913566163F96}" uniqueName="6" name="E20" queryTableFieldId="6"/>
    <tableColumn id="7" xr3:uid="{27B71141-90D2-4138-B0ED-96260391D698}" uniqueName="7" name="Gasohol 91" queryTableFieldId="7"/>
    <tableColumn id="8" xr3:uid="{BF4C39E8-C97A-4A04-9403-D156716297F6}" uniqueName="8" name="Gasohol 95"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วันที่" xr10:uid="{A5AF9BB5-7E28-4FD6-89A0-3E7CDBCC1DD3}" sourceName="วันที่">
  <pivotTables>
    <pivotTable tabId="5" name="PivotTable2"/>
  </pivotTables>
  <state minimalRefreshVersion="6" lastRefreshVersion="6" pivotCacheId="1882411237" filterType="dateBetween">
    <selection startDate="2025-01-01T00:00:00" endDate="2025-03-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วันที่" xr10:uid="{6A552637-48C8-4F02-9194-8954D5D57AB1}" cache="NativeTimeline_วันที่" caption="วันที่" level="1" selectionLevel="1" scrollPosition="2025-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A52E-101F-472B-9CF9-B6B8E0AC64B6}">
  <dimension ref="A1:K30"/>
  <sheetViews>
    <sheetView tabSelected="1" view="pageBreakPreview" zoomScaleNormal="55" zoomScaleSheetLayoutView="100" workbookViewId="0">
      <selection activeCell="M2" sqref="M2"/>
    </sheetView>
  </sheetViews>
  <sheetFormatPr defaultRowHeight="14.5" x14ac:dyDescent="0.35"/>
  <cols>
    <col min="1" max="1" width="13.453125" bestFit="1" customWidth="1"/>
    <col min="2" max="2" width="15" bestFit="1" customWidth="1"/>
  </cols>
  <sheetData>
    <row r="1" spans="1:11" ht="14.5" customHeight="1" x14ac:dyDescent="0.35">
      <c r="A1" s="7" t="s">
        <v>52</v>
      </c>
      <c r="B1" s="8"/>
      <c r="C1" s="8"/>
      <c r="D1" s="8"/>
      <c r="E1" s="8"/>
      <c r="F1" s="8"/>
      <c r="G1" s="9" t="str">
        <f>"Highest Month = " &amp; INDEX(A4:A13, MATCH(MAX(B4:B13), B4:B13, 0)) &amp; " (" &amp; TEXT(MAX(B4:B13),"0.00") &amp; " ฿)"</f>
        <v>Highest Month = Jan (38.30 ฿)</v>
      </c>
      <c r="H1" s="9"/>
      <c r="I1" s="9"/>
      <c r="J1" s="9"/>
      <c r="K1" s="9"/>
    </row>
    <row r="2" spans="1:11" ht="15" customHeight="1" x14ac:dyDescent="0.35">
      <c r="A2" s="7"/>
      <c r="B2" s="8"/>
      <c r="C2" s="8"/>
      <c r="D2" s="8"/>
      <c r="E2" s="8"/>
      <c r="F2" s="8"/>
      <c r="G2" s="6" t="str">
        <f>"Lowest Month = " &amp; INDEX(A4:A13, MATCH(MIN(B4:B13), B4:B13, 0)) &amp; " (" &amp; TEXT(MIN(B4:B13),"0.00") &amp; " ฿)"</f>
        <v>Lowest Month = Oct (35.38 ฿)</v>
      </c>
      <c r="H2" s="6"/>
      <c r="I2" s="6"/>
      <c r="J2" s="6"/>
      <c r="K2" s="6"/>
    </row>
    <row r="3" spans="1:11" x14ac:dyDescent="0.35">
      <c r="A3" s="3" t="s">
        <v>49</v>
      </c>
      <c r="B3" t="s">
        <v>50</v>
      </c>
    </row>
    <row r="4" spans="1:11" x14ac:dyDescent="0.35">
      <c r="A4" s="4" t="s">
        <v>39</v>
      </c>
      <c r="B4" s="5">
        <v>38.297142857142873</v>
      </c>
    </row>
    <row r="5" spans="1:11" x14ac:dyDescent="0.35">
      <c r="A5" s="4" t="s">
        <v>40</v>
      </c>
      <c r="B5" s="5">
        <v>37.949523809523811</v>
      </c>
    </row>
    <row r="6" spans="1:11" x14ac:dyDescent="0.35">
      <c r="A6" s="4" t="s">
        <v>41</v>
      </c>
      <c r="B6" s="5">
        <v>37.335238095238104</v>
      </c>
    </row>
    <row r="7" spans="1:11" x14ac:dyDescent="0.35">
      <c r="A7" s="4" t="s">
        <v>42</v>
      </c>
      <c r="B7" s="5">
        <v>36.192380952380951</v>
      </c>
    </row>
    <row r="8" spans="1:11" x14ac:dyDescent="0.35">
      <c r="A8" s="4" t="s">
        <v>43</v>
      </c>
      <c r="B8" s="5">
        <v>35.811428571428571</v>
      </c>
    </row>
    <row r="9" spans="1:11" x14ac:dyDescent="0.35">
      <c r="A9" s="4" t="s">
        <v>44</v>
      </c>
      <c r="B9" s="5">
        <v>36.322142857142858</v>
      </c>
    </row>
    <row r="10" spans="1:11" x14ac:dyDescent="0.35">
      <c r="A10" s="4" t="s">
        <v>45</v>
      </c>
      <c r="B10" s="5">
        <v>36.011428571428567</v>
      </c>
    </row>
    <row r="11" spans="1:11" x14ac:dyDescent="0.35">
      <c r="A11" s="4" t="s">
        <v>46</v>
      </c>
      <c r="B11" s="5">
        <v>36.137142857142862</v>
      </c>
    </row>
    <row r="12" spans="1:11" x14ac:dyDescent="0.35">
      <c r="A12" s="4" t="s">
        <v>47</v>
      </c>
      <c r="B12" s="5">
        <v>35.954285714285717</v>
      </c>
    </row>
    <row r="13" spans="1:11" x14ac:dyDescent="0.35">
      <c r="A13" s="4" t="s">
        <v>48</v>
      </c>
      <c r="B13" s="5">
        <v>35.382857142857141</v>
      </c>
    </row>
    <row r="14" spans="1:11" x14ac:dyDescent="0.35">
      <c r="A14" s="4" t="s">
        <v>51</v>
      </c>
      <c r="B14" s="5">
        <v>36.719591836734693</v>
      </c>
    </row>
    <row r="22" spans="1:2" x14ac:dyDescent="0.35">
      <c r="A22" s="3" t="s">
        <v>49</v>
      </c>
      <c r="B22" t="s">
        <v>50</v>
      </c>
    </row>
    <row r="23" spans="1:2" x14ac:dyDescent="0.35">
      <c r="A23" s="4" t="s">
        <v>33</v>
      </c>
      <c r="B23" s="5">
        <v>33.159999999999997</v>
      </c>
    </row>
    <row r="24" spans="1:2" x14ac:dyDescent="0.35">
      <c r="A24" s="4" t="s">
        <v>32</v>
      </c>
      <c r="B24" s="5">
        <v>32.050000000000004</v>
      </c>
    </row>
    <row r="25" spans="1:2" x14ac:dyDescent="0.35">
      <c r="A25" s="4" t="s">
        <v>34</v>
      </c>
      <c r="B25" s="5">
        <v>34.989999999999995</v>
      </c>
    </row>
    <row r="26" spans="1:2" x14ac:dyDescent="0.35">
      <c r="A26" s="4" t="s">
        <v>35</v>
      </c>
      <c r="B26" s="5">
        <v>35.36</v>
      </c>
    </row>
    <row r="27" spans="1:2" x14ac:dyDescent="0.35">
      <c r="A27" s="4" t="s">
        <v>31</v>
      </c>
      <c r="B27" s="5">
        <v>49.790000000000006</v>
      </c>
    </row>
    <row r="28" spans="1:2" x14ac:dyDescent="0.35">
      <c r="A28" s="4" t="s">
        <v>30</v>
      </c>
      <c r="B28" s="5">
        <v>32.89</v>
      </c>
    </row>
    <row r="29" spans="1:2" x14ac:dyDescent="0.35">
      <c r="A29" s="4" t="s">
        <v>29</v>
      </c>
      <c r="B29" s="5">
        <v>47.089999999999989</v>
      </c>
    </row>
    <row r="30" spans="1:2" x14ac:dyDescent="0.35">
      <c r="A30" s="4" t="s">
        <v>38</v>
      </c>
      <c r="B30" s="5">
        <v>37.904285714285699</v>
      </c>
    </row>
  </sheetData>
  <mergeCells count="3">
    <mergeCell ref="G2:K2"/>
    <mergeCell ref="A1:F2"/>
    <mergeCell ref="G1:K1"/>
  </mergeCells>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E2CD-D56E-4FCE-81DB-9310FF475EB0}">
  <dimension ref="A1"/>
  <sheetViews>
    <sheetView zoomScale="85" zoomScaleNormal="85" workbookViewId="0">
      <selection activeCell="P12" sqref="P12"/>
    </sheetView>
  </sheetViews>
  <sheetFormatPr defaultRowHeight="14.5" x14ac:dyDescent="0.35"/>
  <cols>
    <col min="1" max="1" width="13.1796875" bestFit="1" customWidth="1"/>
    <col min="2" max="2" width="15" bestFit="1" customWidth="1"/>
    <col min="3" max="5" width="6.1796875" bestFit="1" customWidth="1"/>
    <col min="6" max="8" width="6.453125" bestFit="1" customWidth="1"/>
    <col min="9" max="11" width="6.90625" bestFit="1" customWidth="1"/>
    <col min="12" max="14" width="6.453125" bestFit="1" customWidth="1"/>
    <col min="15" max="15" width="7.08984375" bestFit="1" customWidth="1"/>
    <col min="16" max="16" width="13.36328125" bestFit="1" customWidth="1"/>
    <col min="17" max="17" width="14.36328125" bestFit="1" customWidth="1"/>
    <col min="18" max="19" width="6.26953125" bestFit="1" customWidth="1"/>
    <col min="20" max="21" width="5.81640625" bestFit="1" customWidth="1"/>
    <col min="22" max="26" width="6.6328125" bestFit="1" customWidth="1"/>
    <col min="27" max="27" width="6.453125" bestFit="1" customWidth="1"/>
    <col min="28" max="29" width="6.36328125" bestFit="1" customWidth="1"/>
    <col min="30" max="30" width="11.81640625" bestFit="1" customWidth="1"/>
    <col min="31" max="32" width="6.6328125" bestFit="1" customWidth="1"/>
    <col min="34" max="34" width="6.453125" bestFit="1" customWidth="1"/>
    <col min="35" max="35" width="8.54296875" bestFit="1" customWidth="1"/>
    <col min="36" max="37" width="6.36328125" bestFit="1" customWidth="1"/>
    <col min="38" max="38" width="8.453125" bestFit="1" customWidth="1"/>
    <col min="39" max="39" width="10.7265625" bestFit="1" customWidth="1"/>
  </cols>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1067-7025-49F0-BCD3-63624C90D730}">
  <dimension ref="A1:C197"/>
  <sheetViews>
    <sheetView topLeftCell="A180" workbookViewId="0"/>
  </sheetViews>
  <sheetFormatPr defaultRowHeight="14.5" x14ac:dyDescent="0.35"/>
  <cols>
    <col min="1" max="1" width="10.453125" bestFit="1" customWidth="1"/>
    <col min="2" max="2" width="13.36328125" bestFit="1" customWidth="1"/>
    <col min="3" max="3" width="7.1796875" bestFit="1" customWidth="1"/>
  </cols>
  <sheetData>
    <row r="1" spans="1:3" x14ac:dyDescent="0.35">
      <c r="A1" t="s">
        <v>0</v>
      </c>
      <c r="B1" t="s">
        <v>36</v>
      </c>
      <c r="C1" t="s">
        <v>37</v>
      </c>
    </row>
    <row r="2" spans="1:3" x14ac:dyDescent="0.35">
      <c r="A2" s="2">
        <v>45951</v>
      </c>
      <c r="B2" s="1" t="s">
        <v>29</v>
      </c>
      <c r="C2">
        <v>45.64</v>
      </c>
    </row>
    <row r="3" spans="1:3" x14ac:dyDescent="0.35">
      <c r="A3" s="2">
        <v>45951</v>
      </c>
      <c r="B3" s="1" t="s">
        <v>30</v>
      </c>
      <c r="C3">
        <v>30.94</v>
      </c>
    </row>
    <row r="4" spans="1:3" x14ac:dyDescent="0.35">
      <c r="A4" s="2">
        <v>45951</v>
      </c>
      <c r="B4" s="1" t="s">
        <v>31</v>
      </c>
      <c r="C4">
        <v>49.54</v>
      </c>
    </row>
    <row r="5" spans="1:3" x14ac:dyDescent="0.35">
      <c r="A5" s="2">
        <v>45951</v>
      </c>
      <c r="B5" s="1" t="s">
        <v>32</v>
      </c>
      <c r="C5">
        <v>27.59</v>
      </c>
    </row>
    <row r="6" spans="1:3" x14ac:dyDescent="0.35">
      <c r="A6" s="2">
        <v>45951</v>
      </c>
      <c r="B6" s="1" t="s">
        <v>33</v>
      </c>
      <c r="C6">
        <v>29.64</v>
      </c>
    </row>
    <row r="7" spans="1:3" x14ac:dyDescent="0.35">
      <c r="A7" s="2">
        <v>45951</v>
      </c>
      <c r="B7" s="1" t="s">
        <v>34</v>
      </c>
      <c r="C7">
        <v>31.48</v>
      </c>
    </row>
    <row r="8" spans="1:3" x14ac:dyDescent="0.35">
      <c r="A8" s="2">
        <v>45951</v>
      </c>
      <c r="B8" s="1" t="s">
        <v>35</v>
      </c>
      <c r="C8">
        <v>31.85</v>
      </c>
    </row>
    <row r="9" spans="1:3" x14ac:dyDescent="0.35">
      <c r="A9" s="2">
        <v>45934</v>
      </c>
      <c r="B9" s="1" t="s">
        <v>29</v>
      </c>
      <c r="C9">
        <v>45.64</v>
      </c>
    </row>
    <row r="10" spans="1:3" x14ac:dyDescent="0.35">
      <c r="A10" s="2">
        <v>45934</v>
      </c>
      <c r="B10" s="1" t="s">
        <v>30</v>
      </c>
      <c r="C10">
        <v>31.44</v>
      </c>
    </row>
    <row r="11" spans="1:3" x14ac:dyDescent="0.35">
      <c r="A11" s="2">
        <v>45934</v>
      </c>
      <c r="B11" s="1" t="s">
        <v>31</v>
      </c>
      <c r="C11">
        <v>49.84</v>
      </c>
    </row>
    <row r="12" spans="1:3" x14ac:dyDescent="0.35">
      <c r="A12" s="2">
        <v>45934</v>
      </c>
      <c r="B12" s="1" t="s">
        <v>32</v>
      </c>
      <c r="C12">
        <v>27.89</v>
      </c>
    </row>
    <row r="13" spans="1:3" x14ac:dyDescent="0.35">
      <c r="A13" s="2">
        <v>45934</v>
      </c>
      <c r="B13" s="1" t="s">
        <v>33</v>
      </c>
      <c r="C13">
        <v>29.94</v>
      </c>
    </row>
    <row r="14" spans="1:3" x14ac:dyDescent="0.35">
      <c r="A14" s="2">
        <v>45934</v>
      </c>
      <c r="B14" s="1" t="s">
        <v>34</v>
      </c>
      <c r="C14">
        <v>31.78</v>
      </c>
    </row>
    <row r="15" spans="1:3" x14ac:dyDescent="0.35">
      <c r="A15" s="2">
        <v>45934</v>
      </c>
      <c r="B15" s="1" t="s">
        <v>35</v>
      </c>
      <c r="C15">
        <v>32.15</v>
      </c>
    </row>
    <row r="16" spans="1:3" x14ac:dyDescent="0.35">
      <c r="A16" s="2">
        <v>45924</v>
      </c>
      <c r="B16" s="1" t="s">
        <v>29</v>
      </c>
      <c r="C16">
        <v>46.14</v>
      </c>
    </row>
    <row r="17" spans="1:3" x14ac:dyDescent="0.35">
      <c r="A17" s="2">
        <v>45924</v>
      </c>
      <c r="B17" s="1" t="s">
        <v>30</v>
      </c>
      <c r="C17">
        <v>31.94</v>
      </c>
    </row>
    <row r="18" spans="1:3" x14ac:dyDescent="0.35">
      <c r="A18" s="2">
        <v>45924</v>
      </c>
      <c r="B18" s="1" t="s">
        <v>31</v>
      </c>
      <c r="C18">
        <v>49.84</v>
      </c>
    </row>
    <row r="19" spans="1:3" x14ac:dyDescent="0.35">
      <c r="A19" s="2">
        <v>45924</v>
      </c>
      <c r="B19" s="1" t="s">
        <v>32</v>
      </c>
      <c r="C19">
        <v>28.39</v>
      </c>
    </row>
    <row r="20" spans="1:3" x14ac:dyDescent="0.35">
      <c r="A20" s="2">
        <v>45924</v>
      </c>
      <c r="B20" s="1" t="s">
        <v>33</v>
      </c>
      <c r="C20">
        <v>30.44</v>
      </c>
    </row>
    <row r="21" spans="1:3" x14ac:dyDescent="0.35">
      <c r="A21" s="2">
        <v>45924</v>
      </c>
      <c r="B21" s="1" t="s">
        <v>34</v>
      </c>
      <c r="C21">
        <v>32.28</v>
      </c>
    </row>
    <row r="22" spans="1:3" x14ac:dyDescent="0.35">
      <c r="A22" s="2">
        <v>45924</v>
      </c>
      <c r="B22" s="1" t="s">
        <v>35</v>
      </c>
      <c r="C22">
        <v>32.65</v>
      </c>
    </row>
    <row r="23" spans="1:3" x14ac:dyDescent="0.35">
      <c r="A23" s="2">
        <v>45891</v>
      </c>
      <c r="B23" s="1" t="s">
        <v>29</v>
      </c>
      <c r="C23">
        <v>46.14</v>
      </c>
    </row>
    <row r="24" spans="1:3" x14ac:dyDescent="0.35">
      <c r="A24" s="2">
        <v>45891</v>
      </c>
      <c r="B24" s="1" t="s">
        <v>30</v>
      </c>
      <c r="C24">
        <v>31.94</v>
      </c>
    </row>
    <row r="25" spans="1:3" x14ac:dyDescent="0.35">
      <c r="A25" s="2">
        <v>45891</v>
      </c>
      <c r="B25" s="1" t="s">
        <v>31</v>
      </c>
      <c r="C25">
        <v>49.84</v>
      </c>
    </row>
    <row r="26" spans="1:3" x14ac:dyDescent="0.35">
      <c r="A26" s="2">
        <v>45891</v>
      </c>
      <c r="B26" s="1" t="s">
        <v>32</v>
      </c>
      <c r="C26">
        <v>28.69</v>
      </c>
    </row>
    <row r="27" spans="1:3" x14ac:dyDescent="0.35">
      <c r="A27" s="2">
        <v>45891</v>
      </c>
      <c r="B27" s="1" t="s">
        <v>33</v>
      </c>
      <c r="C27">
        <v>30.74</v>
      </c>
    </row>
    <row r="28" spans="1:3" x14ac:dyDescent="0.35">
      <c r="A28" s="2">
        <v>45891</v>
      </c>
      <c r="B28" s="1" t="s">
        <v>34</v>
      </c>
      <c r="C28">
        <v>32.58</v>
      </c>
    </row>
    <row r="29" spans="1:3" x14ac:dyDescent="0.35">
      <c r="A29" s="2">
        <v>45891</v>
      </c>
      <c r="B29" s="1" t="s">
        <v>35</v>
      </c>
      <c r="C29">
        <v>32.950000000000003</v>
      </c>
    </row>
    <row r="30" spans="1:3" x14ac:dyDescent="0.35">
      <c r="A30" s="2">
        <v>45878</v>
      </c>
      <c r="B30" s="1" t="s">
        <v>29</v>
      </c>
      <c r="C30">
        <v>46.14</v>
      </c>
    </row>
    <row r="31" spans="1:3" x14ac:dyDescent="0.35">
      <c r="A31" s="2">
        <v>45878</v>
      </c>
      <c r="B31" s="1" t="s">
        <v>30</v>
      </c>
      <c r="C31">
        <v>31.94</v>
      </c>
    </row>
    <row r="32" spans="1:3" x14ac:dyDescent="0.35">
      <c r="A32" s="2">
        <v>45878</v>
      </c>
      <c r="B32" s="1" t="s">
        <v>31</v>
      </c>
      <c r="C32">
        <v>49.84</v>
      </c>
    </row>
    <row r="33" spans="1:3" x14ac:dyDescent="0.35">
      <c r="A33" s="2">
        <v>45878</v>
      </c>
      <c r="B33" s="1" t="s">
        <v>32</v>
      </c>
      <c r="C33">
        <v>28.69</v>
      </c>
    </row>
    <row r="34" spans="1:3" x14ac:dyDescent="0.35">
      <c r="A34" s="2">
        <v>45878</v>
      </c>
      <c r="B34" s="1" t="s">
        <v>33</v>
      </c>
      <c r="C34">
        <v>30.34</v>
      </c>
    </row>
    <row r="35" spans="1:3" x14ac:dyDescent="0.35">
      <c r="A35" s="2">
        <v>45878</v>
      </c>
      <c r="B35" s="1" t="s">
        <v>34</v>
      </c>
      <c r="C35">
        <v>32.18</v>
      </c>
    </row>
    <row r="36" spans="1:3" x14ac:dyDescent="0.35">
      <c r="A36" s="2">
        <v>45878</v>
      </c>
      <c r="B36" s="1" t="s">
        <v>35</v>
      </c>
      <c r="C36">
        <v>32.549999999999997</v>
      </c>
    </row>
    <row r="37" spans="1:3" x14ac:dyDescent="0.35">
      <c r="A37" s="2">
        <v>45875</v>
      </c>
      <c r="B37" s="1" t="s">
        <v>29</v>
      </c>
      <c r="C37">
        <v>46.14</v>
      </c>
    </row>
    <row r="38" spans="1:3" x14ac:dyDescent="0.35">
      <c r="A38" s="2">
        <v>45875</v>
      </c>
      <c r="B38" s="1" t="s">
        <v>30</v>
      </c>
      <c r="C38">
        <v>31.94</v>
      </c>
    </row>
    <row r="39" spans="1:3" x14ac:dyDescent="0.35">
      <c r="A39" s="2">
        <v>45875</v>
      </c>
      <c r="B39" s="1" t="s">
        <v>31</v>
      </c>
      <c r="C39">
        <v>49.84</v>
      </c>
    </row>
    <row r="40" spans="1:3" x14ac:dyDescent="0.35">
      <c r="A40" s="2">
        <v>45875</v>
      </c>
      <c r="B40" s="1" t="s">
        <v>32</v>
      </c>
      <c r="C40">
        <v>28.99</v>
      </c>
    </row>
    <row r="41" spans="1:3" x14ac:dyDescent="0.35">
      <c r="A41" s="2">
        <v>45875</v>
      </c>
      <c r="B41" s="1" t="s">
        <v>33</v>
      </c>
      <c r="C41">
        <v>30.64</v>
      </c>
    </row>
    <row r="42" spans="1:3" x14ac:dyDescent="0.35">
      <c r="A42" s="2">
        <v>45875</v>
      </c>
      <c r="B42" s="1" t="s">
        <v>34</v>
      </c>
      <c r="C42">
        <v>32.479999999999997</v>
      </c>
    </row>
    <row r="43" spans="1:3" x14ac:dyDescent="0.35">
      <c r="A43" s="2">
        <v>45875</v>
      </c>
      <c r="B43" s="1" t="s">
        <v>35</v>
      </c>
      <c r="C43">
        <v>32.85</v>
      </c>
    </row>
    <row r="44" spans="1:3" x14ac:dyDescent="0.35">
      <c r="A44" s="2">
        <v>45874</v>
      </c>
      <c r="B44" s="1" t="s">
        <v>29</v>
      </c>
      <c r="C44">
        <v>46.14</v>
      </c>
    </row>
    <row r="45" spans="1:3" x14ac:dyDescent="0.35">
      <c r="A45" s="2">
        <v>45874</v>
      </c>
      <c r="B45" s="1" t="s">
        <v>30</v>
      </c>
      <c r="C45">
        <v>31.94</v>
      </c>
    </row>
    <row r="46" spans="1:3" x14ac:dyDescent="0.35">
      <c r="A46" s="2">
        <v>45874</v>
      </c>
      <c r="B46" s="1" t="s">
        <v>31</v>
      </c>
      <c r="C46">
        <v>49.84</v>
      </c>
    </row>
    <row r="47" spans="1:3" x14ac:dyDescent="0.35">
      <c r="A47" s="2">
        <v>45874</v>
      </c>
      <c r="B47" s="1" t="s">
        <v>32</v>
      </c>
      <c r="C47">
        <v>29.39</v>
      </c>
    </row>
    <row r="48" spans="1:3" x14ac:dyDescent="0.35">
      <c r="A48" s="2">
        <v>45874</v>
      </c>
      <c r="B48" s="1" t="s">
        <v>33</v>
      </c>
      <c r="C48">
        <v>31.04</v>
      </c>
    </row>
    <row r="49" spans="1:3" x14ac:dyDescent="0.35">
      <c r="A49" s="2">
        <v>45874</v>
      </c>
      <c r="B49" s="1" t="s">
        <v>34</v>
      </c>
      <c r="C49">
        <v>32.880000000000003</v>
      </c>
    </row>
    <row r="50" spans="1:3" x14ac:dyDescent="0.35">
      <c r="A50" s="2">
        <v>45874</v>
      </c>
      <c r="B50" s="1" t="s">
        <v>35</v>
      </c>
      <c r="C50">
        <v>33.25</v>
      </c>
    </row>
    <row r="51" spans="1:3" x14ac:dyDescent="0.35">
      <c r="A51" s="2">
        <v>45870</v>
      </c>
      <c r="B51" s="1" t="s">
        <v>29</v>
      </c>
      <c r="C51">
        <v>46.14</v>
      </c>
    </row>
    <row r="52" spans="1:3" x14ac:dyDescent="0.35">
      <c r="A52" s="2">
        <v>45870</v>
      </c>
      <c r="B52" s="1" t="s">
        <v>30</v>
      </c>
      <c r="C52">
        <v>31.94</v>
      </c>
    </row>
    <row r="53" spans="1:3" x14ac:dyDescent="0.35">
      <c r="A53" s="2">
        <v>45870</v>
      </c>
      <c r="B53" s="1" t="s">
        <v>31</v>
      </c>
      <c r="C53">
        <v>49.84</v>
      </c>
    </row>
    <row r="54" spans="1:3" x14ac:dyDescent="0.35">
      <c r="A54" s="2">
        <v>45870</v>
      </c>
      <c r="B54" s="1" t="s">
        <v>32</v>
      </c>
      <c r="C54">
        <v>28.99</v>
      </c>
    </row>
    <row r="55" spans="1:3" x14ac:dyDescent="0.35">
      <c r="A55" s="2">
        <v>45870</v>
      </c>
      <c r="B55" s="1" t="s">
        <v>33</v>
      </c>
      <c r="C55">
        <v>30.64</v>
      </c>
    </row>
    <row r="56" spans="1:3" x14ac:dyDescent="0.35">
      <c r="A56" s="2">
        <v>45870</v>
      </c>
      <c r="B56" s="1" t="s">
        <v>34</v>
      </c>
      <c r="C56">
        <v>32.479999999999997</v>
      </c>
    </row>
    <row r="57" spans="1:3" x14ac:dyDescent="0.35">
      <c r="A57" s="2">
        <v>45870</v>
      </c>
      <c r="B57" s="1" t="s">
        <v>35</v>
      </c>
      <c r="C57">
        <v>32.85</v>
      </c>
    </row>
    <row r="58" spans="1:3" x14ac:dyDescent="0.35">
      <c r="A58" s="2">
        <v>45862</v>
      </c>
      <c r="B58" s="1" t="s">
        <v>29</v>
      </c>
      <c r="C58">
        <v>46.14</v>
      </c>
    </row>
    <row r="59" spans="1:3" x14ac:dyDescent="0.35">
      <c r="A59" s="2">
        <v>45862</v>
      </c>
      <c r="B59" s="1" t="s">
        <v>30</v>
      </c>
      <c r="C59">
        <v>31.94</v>
      </c>
    </row>
    <row r="60" spans="1:3" x14ac:dyDescent="0.35">
      <c r="A60" s="2">
        <v>45862</v>
      </c>
      <c r="B60" s="1" t="s">
        <v>31</v>
      </c>
      <c r="C60">
        <v>49.84</v>
      </c>
    </row>
    <row r="61" spans="1:3" x14ac:dyDescent="0.35">
      <c r="A61" s="2">
        <v>45862</v>
      </c>
      <c r="B61" s="1" t="s">
        <v>32</v>
      </c>
      <c r="C61">
        <v>28.59</v>
      </c>
    </row>
    <row r="62" spans="1:3" x14ac:dyDescent="0.35">
      <c r="A62" s="2">
        <v>45862</v>
      </c>
      <c r="B62" s="1" t="s">
        <v>33</v>
      </c>
      <c r="C62">
        <v>30.24</v>
      </c>
    </row>
    <row r="63" spans="1:3" x14ac:dyDescent="0.35">
      <c r="A63" s="2">
        <v>45862</v>
      </c>
      <c r="B63" s="1" t="s">
        <v>34</v>
      </c>
      <c r="C63">
        <v>32.08</v>
      </c>
    </row>
    <row r="64" spans="1:3" x14ac:dyDescent="0.35">
      <c r="A64" s="2">
        <v>45862</v>
      </c>
      <c r="B64" s="1" t="s">
        <v>35</v>
      </c>
      <c r="C64">
        <v>32.450000000000003</v>
      </c>
    </row>
    <row r="65" spans="1:3" x14ac:dyDescent="0.35">
      <c r="A65" s="2">
        <v>45840</v>
      </c>
      <c r="B65" s="1" t="s">
        <v>29</v>
      </c>
      <c r="C65">
        <v>46.14</v>
      </c>
    </row>
    <row r="66" spans="1:3" x14ac:dyDescent="0.35">
      <c r="A66" s="2">
        <v>45840</v>
      </c>
      <c r="B66" s="1" t="s">
        <v>30</v>
      </c>
      <c r="C66">
        <v>31.94</v>
      </c>
    </row>
    <row r="67" spans="1:3" x14ac:dyDescent="0.35">
      <c r="A67" s="2">
        <v>45840</v>
      </c>
      <c r="B67" s="1" t="s">
        <v>31</v>
      </c>
      <c r="C67">
        <v>49.84</v>
      </c>
    </row>
    <row r="68" spans="1:3" x14ac:dyDescent="0.35">
      <c r="A68" s="2">
        <v>45840</v>
      </c>
      <c r="B68" s="1" t="s">
        <v>32</v>
      </c>
      <c r="C68">
        <v>28.99</v>
      </c>
    </row>
    <row r="69" spans="1:3" x14ac:dyDescent="0.35">
      <c r="A69" s="2">
        <v>45840</v>
      </c>
      <c r="B69" s="1" t="s">
        <v>33</v>
      </c>
      <c r="C69">
        <v>30.64</v>
      </c>
    </row>
    <row r="70" spans="1:3" x14ac:dyDescent="0.35">
      <c r="A70" s="2">
        <v>45840</v>
      </c>
      <c r="B70" s="1" t="s">
        <v>34</v>
      </c>
      <c r="C70">
        <v>32.479999999999997</v>
      </c>
    </row>
    <row r="71" spans="1:3" x14ac:dyDescent="0.35">
      <c r="A71" s="2">
        <v>45840</v>
      </c>
      <c r="B71" s="1" t="s">
        <v>35</v>
      </c>
      <c r="C71">
        <v>32.85</v>
      </c>
    </row>
    <row r="72" spans="1:3" x14ac:dyDescent="0.35">
      <c r="A72" s="2">
        <v>45834</v>
      </c>
      <c r="B72" s="1" t="s">
        <v>29</v>
      </c>
      <c r="C72">
        <v>46.14</v>
      </c>
    </row>
    <row r="73" spans="1:3" x14ac:dyDescent="0.35">
      <c r="A73" s="2">
        <v>45834</v>
      </c>
      <c r="B73" s="1" t="s">
        <v>30</v>
      </c>
      <c r="C73">
        <v>31.94</v>
      </c>
    </row>
    <row r="74" spans="1:3" x14ac:dyDescent="0.35">
      <c r="A74" s="2">
        <v>45834</v>
      </c>
      <c r="B74" s="1" t="s">
        <v>31</v>
      </c>
      <c r="C74">
        <v>49.84</v>
      </c>
    </row>
    <row r="75" spans="1:3" x14ac:dyDescent="0.35">
      <c r="A75" s="2">
        <v>45834</v>
      </c>
      <c r="B75" s="1" t="s">
        <v>32</v>
      </c>
      <c r="C75">
        <v>29.29</v>
      </c>
    </row>
    <row r="76" spans="1:3" x14ac:dyDescent="0.35">
      <c r="A76" s="2">
        <v>45834</v>
      </c>
      <c r="B76" s="1" t="s">
        <v>33</v>
      </c>
      <c r="C76">
        <v>30.94</v>
      </c>
    </row>
    <row r="77" spans="1:3" x14ac:dyDescent="0.35">
      <c r="A77" s="2">
        <v>45834</v>
      </c>
      <c r="B77" s="1" t="s">
        <v>34</v>
      </c>
      <c r="C77">
        <v>32.78</v>
      </c>
    </row>
    <row r="78" spans="1:3" x14ac:dyDescent="0.35">
      <c r="A78" s="2">
        <v>45834</v>
      </c>
      <c r="B78" s="1" t="s">
        <v>35</v>
      </c>
      <c r="C78">
        <v>33.15</v>
      </c>
    </row>
    <row r="79" spans="1:3" x14ac:dyDescent="0.35">
      <c r="A79" s="2">
        <v>45832</v>
      </c>
      <c r="B79" s="1" t="s">
        <v>29</v>
      </c>
      <c r="C79">
        <v>46.14</v>
      </c>
    </row>
    <row r="80" spans="1:3" x14ac:dyDescent="0.35">
      <c r="A80" s="2">
        <v>45832</v>
      </c>
      <c r="B80" s="1" t="s">
        <v>30</v>
      </c>
      <c r="C80">
        <v>31.94</v>
      </c>
    </row>
    <row r="81" spans="1:3" x14ac:dyDescent="0.35">
      <c r="A81" s="2">
        <v>45832</v>
      </c>
      <c r="B81" s="1" t="s">
        <v>31</v>
      </c>
      <c r="C81">
        <v>49.84</v>
      </c>
    </row>
    <row r="82" spans="1:3" x14ac:dyDescent="0.35">
      <c r="A82" s="2">
        <v>45832</v>
      </c>
      <c r="B82" s="1" t="s">
        <v>32</v>
      </c>
      <c r="C82">
        <v>29.79</v>
      </c>
    </row>
    <row r="83" spans="1:3" x14ac:dyDescent="0.35">
      <c r="A83" s="2">
        <v>45832</v>
      </c>
      <c r="B83" s="1" t="s">
        <v>33</v>
      </c>
      <c r="C83">
        <v>31.44</v>
      </c>
    </row>
    <row r="84" spans="1:3" x14ac:dyDescent="0.35">
      <c r="A84" s="2">
        <v>45832</v>
      </c>
      <c r="B84" s="1" t="s">
        <v>34</v>
      </c>
      <c r="C84">
        <v>33.28</v>
      </c>
    </row>
    <row r="85" spans="1:3" x14ac:dyDescent="0.35">
      <c r="A85" s="2">
        <v>45832</v>
      </c>
      <c r="B85" s="1" t="s">
        <v>35</v>
      </c>
      <c r="C85">
        <v>33.65</v>
      </c>
    </row>
    <row r="86" spans="1:3" x14ac:dyDescent="0.35">
      <c r="A86" s="2">
        <v>45828</v>
      </c>
      <c r="B86" s="1" t="s">
        <v>29</v>
      </c>
      <c r="C86">
        <v>46.14</v>
      </c>
    </row>
    <row r="87" spans="1:3" x14ac:dyDescent="0.35">
      <c r="A87" s="2">
        <v>45828</v>
      </c>
      <c r="B87" s="1" t="s">
        <v>30</v>
      </c>
      <c r="C87">
        <v>31.94</v>
      </c>
    </row>
    <row r="88" spans="1:3" x14ac:dyDescent="0.35">
      <c r="A88" s="2">
        <v>45828</v>
      </c>
      <c r="B88" s="1" t="s">
        <v>31</v>
      </c>
      <c r="C88">
        <v>49.54</v>
      </c>
    </row>
    <row r="89" spans="1:3" x14ac:dyDescent="0.35">
      <c r="A89" s="2">
        <v>45828</v>
      </c>
      <c r="B89" s="1" t="s">
        <v>32</v>
      </c>
      <c r="C89">
        <v>29.39</v>
      </c>
    </row>
    <row r="90" spans="1:3" x14ac:dyDescent="0.35">
      <c r="A90" s="2">
        <v>45828</v>
      </c>
      <c r="B90" s="1" t="s">
        <v>33</v>
      </c>
      <c r="C90">
        <v>31.04</v>
      </c>
    </row>
    <row r="91" spans="1:3" x14ac:dyDescent="0.35">
      <c r="A91" s="2">
        <v>45828</v>
      </c>
      <c r="B91" s="1" t="s">
        <v>34</v>
      </c>
      <c r="C91">
        <v>32.880000000000003</v>
      </c>
    </row>
    <row r="92" spans="1:3" x14ac:dyDescent="0.35">
      <c r="A92" s="2">
        <v>45828</v>
      </c>
      <c r="B92" s="1" t="s">
        <v>35</v>
      </c>
      <c r="C92">
        <v>33.25</v>
      </c>
    </row>
    <row r="93" spans="1:3" x14ac:dyDescent="0.35">
      <c r="A93" s="2">
        <v>45821</v>
      </c>
      <c r="B93" s="1" t="s">
        <v>29</v>
      </c>
      <c r="C93">
        <v>46.14</v>
      </c>
    </row>
    <row r="94" spans="1:3" x14ac:dyDescent="0.35">
      <c r="A94" s="2">
        <v>45821</v>
      </c>
      <c r="B94" s="1" t="s">
        <v>30</v>
      </c>
      <c r="C94">
        <v>31.94</v>
      </c>
    </row>
    <row r="95" spans="1:3" x14ac:dyDescent="0.35">
      <c r="A95" s="2">
        <v>45821</v>
      </c>
      <c r="B95" s="1" t="s">
        <v>31</v>
      </c>
      <c r="C95">
        <v>49.24</v>
      </c>
    </row>
    <row r="96" spans="1:3" x14ac:dyDescent="0.35">
      <c r="A96" s="2">
        <v>45821</v>
      </c>
      <c r="B96" s="1" t="s">
        <v>32</v>
      </c>
      <c r="C96">
        <v>29.09</v>
      </c>
    </row>
    <row r="97" spans="1:3" x14ac:dyDescent="0.35">
      <c r="A97" s="2">
        <v>45821</v>
      </c>
      <c r="B97" s="1" t="s">
        <v>33</v>
      </c>
      <c r="C97">
        <v>30.74</v>
      </c>
    </row>
    <row r="98" spans="1:3" x14ac:dyDescent="0.35">
      <c r="A98" s="2">
        <v>45821</v>
      </c>
      <c r="B98" s="1" t="s">
        <v>34</v>
      </c>
      <c r="C98">
        <v>32.58</v>
      </c>
    </row>
    <row r="99" spans="1:3" x14ac:dyDescent="0.35">
      <c r="A99" s="2">
        <v>45821</v>
      </c>
      <c r="B99" s="1" t="s">
        <v>35</v>
      </c>
      <c r="C99">
        <v>32.950000000000003</v>
      </c>
    </row>
    <row r="100" spans="1:3" x14ac:dyDescent="0.35">
      <c r="A100" s="2">
        <v>45799</v>
      </c>
      <c r="B100" s="1" t="s">
        <v>29</v>
      </c>
      <c r="C100">
        <v>46.14</v>
      </c>
    </row>
    <row r="101" spans="1:3" x14ac:dyDescent="0.35">
      <c r="A101" s="2">
        <v>45799</v>
      </c>
      <c r="B101" s="1" t="s">
        <v>30</v>
      </c>
      <c r="C101">
        <v>31.94</v>
      </c>
    </row>
    <row r="102" spans="1:3" x14ac:dyDescent="0.35">
      <c r="A102" s="2">
        <v>45799</v>
      </c>
      <c r="B102" s="1" t="s">
        <v>31</v>
      </c>
      <c r="C102">
        <v>48.84</v>
      </c>
    </row>
    <row r="103" spans="1:3" x14ac:dyDescent="0.35">
      <c r="A103" s="2">
        <v>45799</v>
      </c>
      <c r="B103" s="1" t="s">
        <v>32</v>
      </c>
      <c r="C103">
        <v>28.69</v>
      </c>
    </row>
    <row r="104" spans="1:3" x14ac:dyDescent="0.35">
      <c r="A104" s="2">
        <v>45799</v>
      </c>
      <c r="B104" s="1" t="s">
        <v>33</v>
      </c>
      <c r="C104">
        <v>30.34</v>
      </c>
    </row>
    <row r="105" spans="1:3" x14ac:dyDescent="0.35">
      <c r="A105" s="2">
        <v>45799</v>
      </c>
      <c r="B105" s="1" t="s">
        <v>34</v>
      </c>
      <c r="C105">
        <v>32.18</v>
      </c>
    </row>
    <row r="106" spans="1:3" x14ac:dyDescent="0.35">
      <c r="A106" s="2">
        <v>45799</v>
      </c>
      <c r="B106" s="1" t="s">
        <v>35</v>
      </c>
      <c r="C106">
        <v>32.549999999999997</v>
      </c>
    </row>
    <row r="107" spans="1:3" x14ac:dyDescent="0.35">
      <c r="A107" s="2">
        <v>45759</v>
      </c>
      <c r="B107" s="1" t="s">
        <v>29</v>
      </c>
      <c r="C107">
        <v>46.14</v>
      </c>
    </row>
    <row r="108" spans="1:3" x14ac:dyDescent="0.35">
      <c r="A108" s="2">
        <v>45759</v>
      </c>
      <c r="B108" s="1" t="s">
        <v>30</v>
      </c>
      <c r="C108">
        <v>31.94</v>
      </c>
    </row>
    <row r="109" spans="1:3" x14ac:dyDescent="0.35">
      <c r="A109" s="2">
        <v>45759</v>
      </c>
      <c r="B109" s="1" t="s">
        <v>31</v>
      </c>
      <c r="C109">
        <v>48.84</v>
      </c>
    </row>
    <row r="110" spans="1:3" x14ac:dyDescent="0.35">
      <c r="A110" s="2">
        <v>45759</v>
      </c>
      <c r="B110" s="1" t="s">
        <v>32</v>
      </c>
      <c r="C110">
        <v>28.99</v>
      </c>
    </row>
    <row r="111" spans="1:3" x14ac:dyDescent="0.35">
      <c r="A111" s="2">
        <v>45759</v>
      </c>
      <c r="B111" s="1" t="s">
        <v>33</v>
      </c>
      <c r="C111">
        <v>30.64</v>
      </c>
    </row>
    <row r="112" spans="1:3" x14ac:dyDescent="0.35">
      <c r="A112" s="2">
        <v>45759</v>
      </c>
      <c r="B112" s="1" t="s">
        <v>34</v>
      </c>
      <c r="C112">
        <v>32.479999999999997</v>
      </c>
    </row>
    <row r="113" spans="1:3" x14ac:dyDescent="0.35">
      <c r="A113" s="2">
        <v>45759</v>
      </c>
      <c r="B113" s="1" t="s">
        <v>35</v>
      </c>
      <c r="C113">
        <v>32.85</v>
      </c>
    </row>
    <row r="114" spans="1:3" x14ac:dyDescent="0.35">
      <c r="A114" s="2">
        <v>45756</v>
      </c>
      <c r="B114" s="1" t="s">
        <v>29</v>
      </c>
      <c r="C114">
        <v>46.14</v>
      </c>
    </row>
    <row r="115" spans="1:3" x14ac:dyDescent="0.35">
      <c r="A115" s="2">
        <v>45756</v>
      </c>
      <c r="B115" s="1" t="s">
        <v>30</v>
      </c>
      <c r="C115">
        <v>31.94</v>
      </c>
    </row>
    <row r="116" spans="1:3" x14ac:dyDescent="0.35">
      <c r="A116" s="2">
        <v>45756</v>
      </c>
      <c r="B116" s="1" t="s">
        <v>31</v>
      </c>
      <c r="C116">
        <v>48.84</v>
      </c>
    </row>
    <row r="117" spans="1:3" x14ac:dyDescent="0.35">
      <c r="A117" s="2">
        <v>45756</v>
      </c>
      <c r="B117" s="1" t="s">
        <v>32</v>
      </c>
      <c r="C117">
        <v>29.29</v>
      </c>
    </row>
    <row r="118" spans="1:3" x14ac:dyDescent="0.35">
      <c r="A118" s="2">
        <v>45756</v>
      </c>
      <c r="B118" s="1" t="s">
        <v>33</v>
      </c>
      <c r="C118">
        <v>30.94</v>
      </c>
    </row>
    <row r="119" spans="1:3" x14ac:dyDescent="0.35">
      <c r="A119" s="2">
        <v>45756</v>
      </c>
      <c r="B119" s="1" t="s">
        <v>34</v>
      </c>
      <c r="C119">
        <v>32.78</v>
      </c>
    </row>
    <row r="120" spans="1:3" x14ac:dyDescent="0.35">
      <c r="A120" s="2">
        <v>45756</v>
      </c>
      <c r="B120" s="1" t="s">
        <v>35</v>
      </c>
      <c r="C120">
        <v>33.15</v>
      </c>
    </row>
    <row r="121" spans="1:3" x14ac:dyDescent="0.35">
      <c r="A121" s="2">
        <v>45751</v>
      </c>
      <c r="B121" s="1" t="s">
        <v>29</v>
      </c>
      <c r="C121">
        <v>46.14</v>
      </c>
    </row>
    <row r="122" spans="1:3" x14ac:dyDescent="0.35">
      <c r="A122" s="2">
        <v>45751</v>
      </c>
      <c r="B122" s="1" t="s">
        <v>30</v>
      </c>
      <c r="C122">
        <v>31.94</v>
      </c>
    </row>
    <row r="123" spans="1:3" x14ac:dyDescent="0.35">
      <c r="A123" s="2">
        <v>45751</v>
      </c>
      <c r="B123" s="1" t="s">
        <v>31</v>
      </c>
      <c r="C123">
        <v>48.84</v>
      </c>
    </row>
    <row r="124" spans="1:3" x14ac:dyDescent="0.35">
      <c r="A124" s="2">
        <v>45751</v>
      </c>
      <c r="B124" s="1" t="s">
        <v>32</v>
      </c>
      <c r="C124">
        <v>29.79</v>
      </c>
    </row>
    <row r="125" spans="1:3" x14ac:dyDescent="0.35">
      <c r="A125" s="2">
        <v>45751</v>
      </c>
      <c r="B125" s="1" t="s">
        <v>33</v>
      </c>
      <c r="C125">
        <v>31.44</v>
      </c>
    </row>
    <row r="126" spans="1:3" x14ac:dyDescent="0.35">
      <c r="A126" s="2">
        <v>45751</v>
      </c>
      <c r="B126" s="1" t="s">
        <v>34</v>
      </c>
      <c r="C126">
        <v>33.28</v>
      </c>
    </row>
    <row r="127" spans="1:3" x14ac:dyDescent="0.35">
      <c r="A127" s="2">
        <v>45751</v>
      </c>
      <c r="B127" s="1" t="s">
        <v>35</v>
      </c>
      <c r="C127">
        <v>33.65</v>
      </c>
    </row>
    <row r="128" spans="1:3" x14ac:dyDescent="0.35">
      <c r="A128" s="2">
        <v>45744</v>
      </c>
      <c r="B128" s="1" t="s">
        <v>29</v>
      </c>
      <c r="C128">
        <v>46.64</v>
      </c>
    </row>
    <row r="129" spans="1:3" x14ac:dyDescent="0.35">
      <c r="A129" s="2">
        <v>45744</v>
      </c>
      <c r="B129" s="1" t="s">
        <v>30</v>
      </c>
      <c r="C129">
        <v>32.44</v>
      </c>
    </row>
    <row r="130" spans="1:3" x14ac:dyDescent="0.35">
      <c r="A130" s="2">
        <v>45744</v>
      </c>
      <c r="B130" s="1" t="s">
        <v>31</v>
      </c>
      <c r="C130">
        <v>49.34</v>
      </c>
    </row>
    <row r="131" spans="1:3" x14ac:dyDescent="0.35">
      <c r="A131" s="2">
        <v>45744</v>
      </c>
      <c r="B131" s="1" t="s">
        <v>32</v>
      </c>
      <c r="C131">
        <v>30.29</v>
      </c>
    </row>
    <row r="132" spans="1:3" x14ac:dyDescent="0.35">
      <c r="A132" s="2">
        <v>45744</v>
      </c>
      <c r="B132" s="1" t="s">
        <v>33</v>
      </c>
      <c r="C132">
        <v>31.94</v>
      </c>
    </row>
    <row r="133" spans="1:3" x14ac:dyDescent="0.35">
      <c r="A133" s="2">
        <v>45744</v>
      </c>
      <c r="B133" s="1" t="s">
        <v>34</v>
      </c>
      <c r="C133">
        <v>33.78</v>
      </c>
    </row>
    <row r="134" spans="1:3" x14ac:dyDescent="0.35">
      <c r="A134" s="2">
        <v>45744</v>
      </c>
      <c r="B134" s="1" t="s">
        <v>35</v>
      </c>
      <c r="C134">
        <v>34.15</v>
      </c>
    </row>
    <row r="135" spans="1:3" x14ac:dyDescent="0.35">
      <c r="A135" s="2">
        <v>45727</v>
      </c>
      <c r="B135" s="1" t="s">
        <v>29</v>
      </c>
      <c r="C135">
        <v>47.14</v>
      </c>
    </row>
    <row r="136" spans="1:3" x14ac:dyDescent="0.35">
      <c r="A136" s="2">
        <v>45727</v>
      </c>
      <c r="B136" s="1" t="s">
        <v>30</v>
      </c>
      <c r="C136">
        <v>32.94</v>
      </c>
    </row>
    <row r="137" spans="1:3" x14ac:dyDescent="0.35">
      <c r="A137" s="2">
        <v>45727</v>
      </c>
      <c r="B137" s="1" t="s">
        <v>31</v>
      </c>
      <c r="C137">
        <v>49.84</v>
      </c>
    </row>
    <row r="138" spans="1:3" x14ac:dyDescent="0.35">
      <c r="A138" s="2">
        <v>45727</v>
      </c>
      <c r="B138" s="1" t="s">
        <v>32</v>
      </c>
      <c r="C138">
        <v>30.79</v>
      </c>
    </row>
    <row r="139" spans="1:3" x14ac:dyDescent="0.35">
      <c r="A139" s="2">
        <v>45727</v>
      </c>
      <c r="B139" s="1" t="s">
        <v>33</v>
      </c>
      <c r="C139">
        <v>32.44</v>
      </c>
    </row>
    <row r="140" spans="1:3" x14ac:dyDescent="0.35">
      <c r="A140" s="2">
        <v>45727</v>
      </c>
      <c r="B140" s="1" t="s">
        <v>34</v>
      </c>
      <c r="C140">
        <v>34.28</v>
      </c>
    </row>
    <row r="141" spans="1:3" x14ac:dyDescent="0.35">
      <c r="A141" s="2">
        <v>45727</v>
      </c>
      <c r="B141" s="1" t="s">
        <v>35</v>
      </c>
      <c r="C141">
        <v>34.65</v>
      </c>
    </row>
    <row r="142" spans="1:3" x14ac:dyDescent="0.35">
      <c r="A142" s="2">
        <v>45722</v>
      </c>
      <c r="B142" s="1" t="s">
        <v>29</v>
      </c>
      <c r="C142">
        <v>47.14</v>
      </c>
    </row>
    <row r="143" spans="1:3" x14ac:dyDescent="0.35">
      <c r="A143" s="2">
        <v>45722</v>
      </c>
      <c r="B143" s="1" t="s">
        <v>30</v>
      </c>
      <c r="C143">
        <v>32.94</v>
      </c>
    </row>
    <row r="144" spans="1:3" x14ac:dyDescent="0.35">
      <c r="A144" s="2">
        <v>45722</v>
      </c>
      <c r="B144" s="1" t="s">
        <v>31</v>
      </c>
      <c r="C144">
        <v>49.84</v>
      </c>
    </row>
    <row r="145" spans="1:3" x14ac:dyDescent="0.35">
      <c r="A145" s="2">
        <v>45722</v>
      </c>
      <c r="B145" s="1" t="s">
        <v>32</v>
      </c>
      <c r="C145">
        <v>31.19</v>
      </c>
    </row>
    <row r="146" spans="1:3" x14ac:dyDescent="0.35">
      <c r="A146" s="2">
        <v>45722</v>
      </c>
      <c r="B146" s="1" t="s">
        <v>33</v>
      </c>
      <c r="C146">
        <v>32.74</v>
      </c>
    </row>
    <row r="147" spans="1:3" x14ac:dyDescent="0.35">
      <c r="A147" s="2">
        <v>45722</v>
      </c>
      <c r="B147" s="1" t="s">
        <v>34</v>
      </c>
      <c r="C147">
        <v>34.58</v>
      </c>
    </row>
    <row r="148" spans="1:3" x14ac:dyDescent="0.35">
      <c r="A148" s="2">
        <v>45722</v>
      </c>
      <c r="B148" s="1" t="s">
        <v>35</v>
      </c>
      <c r="C148">
        <v>34.950000000000003</v>
      </c>
    </row>
    <row r="149" spans="1:3" x14ac:dyDescent="0.35">
      <c r="A149" s="2">
        <v>45716</v>
      </c>
      <c r="B149" s="1" t="s">
        <v>29</v>
      </c>
      <c r="C149">
        <v>47.14</v>
      </c>
    </row>
    <row r="150" spans="1:3" x14ac:dyDescent="0.35">
      <c r="A150" s="2">
        <v>45716</v>
      </c>
      <c r="B150" s="1" t="s">
        <v>30</v>
      </c>
      <c r="C150">
        <v>32.94</v>
      </c>
    </row>
    <row r="151" spans="1:3" x14ac:dyDescent="0.35">
      <c r="A151" s="2">
        <v>45716</v>
      </c>
      <c r="B151" s="1" t="s">
        <v>31</v>
      </c>
      <c r="C151">
        <v>49.84</v>
      </c>
    </row>
    <row r="152" spans="1:3" x14ac:dyDescent="0.35">
      <c r="A152" s="2">
        <v>45716</v>
      </c>
      <c r="B152" s="1" t="s">
        <v>32</v>
      </c>
      <c r="C152">
        <v>31.69</v>
      </c>
    </row>
    <row r="153" spans="1:3" x14ac:dyDescent="0.35">
      <c r="A153" s="2">
        <v>45716</v>
      </c>
      <c r="B153" s="1" t="s">
        <v>33</v>
      </c>
      <c r="C153">
        <v>33.14</v>
      </c>
    </row>
    <row r="154" spans="1:3" x14ac:dyDescent="0.35">
      <c r="A154" s="2">
        <v>45716</v>
      </c>
      <c r="B154" s="1" t="s">
        <v>34</v>
      </c>
      <c r="C154">
        <v>34.979999999999997</v>
      </c>
    </row>
    <row r="155" spans="1:3" x14ac:dyDescent="0.35">
      <c r="A155" s="2">
        <v>45716</v>
      </c>
      <c r="B155" s="1" t="s">
        <v>35</v>
      </c>
      <c r="C155">
        <v>35.35</v>
      </c>
    </row>
    <row r="156" spans="1:3" x14ac:dyDescent="0.35">
      <c r="A156" s="2">
        <v>45708</v>
      </c>
      <c r="B156" s="1" t="s">
        <v>29</v>
      </c>
      <c r="C156">
        <v>47.14</v>
      </c>
    </row>
    <row r="157" spans="1:3" x14ac:dyDescent="0.35">
      <c r="A157" s="2">
        <v>45708</v>
      </c>
      <c r="B157" s="1" t="s">
        <v>30</v>
      </c>
      <c r="C157">
        <v>32.94</v>
      </c>
    </row>
    <row r="158" spans="1:3" x14ac:dyDescent="0.35">
      <c r="A158" s="2">
        <v>45708</v>
      </c>
      <c r="B158" s="1" t="s">
        <v>31</v>
      </c>
      <c r="C158">
        <v>49.84</v>
      </c>
    </row>
    <row r="159" spans="1:3" x14ac:dyDescent="0.35">
      <c r="A159" s="2">
        <v>45708</v>
      </c>
      <c r="B159" s="1" t="s">
        <v>32</v>
      </c>
      <c r="C159">
        <v>32.090000000000003</v>
      </c>
    </row>
    <row r="160" spans="1:3" x14ac:dyDescent="0.35">
      <c r="A160" s="2">
        <v>45708</v>
      </c>
      <c r="B160" s="1" t="s">
        <v>33</v>
      </c>
      <c r="C160">
        <v>33.44</v>
      </c>
    </row>
    <row r="161" spans="1:3" x14ac:dyDescent="0.35">
      <c r="A161" s="2">
        <v>45708</v>
      </c>
      <c r="B161" s="1" t="s">
        <v>34</v>
      </c>
      <c r="C161">
        <v>35.28</v>
      </c>
    </row>
    <row r="162" spans="1:3" x14ac:dyDescent="0.35">
      <c r="A162" s="2">
        <v>45708</v>
      </c>
      <c r="B162" s="1" t="s">
        <v>35</v>
      </c>
      <c r="C162">
        <v>35.65</v>
      </c>
    </row>
    <row r="163" spans="1:3" x14ac:dyDescent="0.35">
      <c r="A163" s="2">
        <v>45694</v>
      </c>
      <c r="B163" s="1" t="s">
        <v>29</v>
      </c>
      <c r="C163">
        <v>47.14</v>
      </c>
    </row>
    <row r="164" spans="1:3" x14ac:dyDescent="0.35">
      <c r="A164" s="2">
        <v>45694</v>
      </c>
      <c r="B164" s="1" t="s">
        <v>30</v>
      </c>
      <c r="C164">
        <v>32.94</v>
      </c>
    </row>
    <row r="165" spans="1:3" x14ac:dyDescent="0.35">
      <c r="A165" s="2">
        <v>45694</v>
      </c>
      <c r="B165" s="1" t="s">
        <v>31</v>
      </c>
      <c r="C165">
        <v>49.84</v>
      </c>
    </row>
    <row r="166" spans="1:3" x14ac:dyDescent="0.35">
      <c r="A166" s="2">
        <v>45694</v>
      </c>
      <c r="B166" s="1" t="s">
        <v>32</v>
      </c>
      <c r="C166">
        <v>32.090000000000003</v>
      </c>
    </row>
    <row r="167" spans="1:3" x14ac:dyDescent="0.35">
      <c r="A167" s="2">
        <v>45694</v>
      </c>
      <c r="B167" s="1" t="s">
        <v>33</v>
      </c>
      <c r="C167">
        <v>33.14</v>
      </c>
    </row>
    <row r="168" spans="1:3" x14ac:dyDescent="0.35">
      <c r="A168" s="2">
        <v>45694</v>
      </c>
      <c r="B168" s="1" t="s">
        <v>34</v>
      </c>
      <c r="C168">
        <v>34.979999999999997</v>
      </c>
    </row>
    <row r="169" spans="1:3" x14ac:dyDescent="0.35">
      <c r="A169" s="2">
        <v>45694</v>
      </c>
      <c r="B169" s="1" t="s">
        <v>35</v>
      </c>
      <c r="C169">
        <v>35.35</v>
      </c>
    </row>
    <row r="170" spans="1:3" x14ac:dyDescent="0.35">
      <c r="A170" s="2">
        <v>45680</v>
      </c>
      <c r="B170" s="1" t="s">
        <v>29</v>
      </c>
      <c r="C170">
        <v>47.14</v>
      </c>
    </row>
    <row r="171" spans="1:3" x14ac:dyDescent="0.35">
      <c r="A171" s="2">
        <v>45680</v>
      </c>
      <c r="B171" s="1" t="s">
        <v>30</v>
      </c>
      <c r="C171">
        <v>32.94</v>
      </c>
    </row>
    <row r="172" spans="1:3" x14ac:dyDescent="0.35">
      <c r="A172" s="2">
        <v>45680</v>
      </c>
      <c r="B172" s="1" t="s">
        <v>31</v>
      </c>
      <c r="C172">
        <v>49.84</v>
      </c>
    </row>
    <row r="173" spans="1:3" x14ac:dyDescent="0.35">
      <c r="A173" s="2">
        <v>45680</v>
      </c>
      <c r="B173" s="1" t="s">
        <v>32</v>
      </c>
      <c r="C173">
        <v>32.590000000000003</v>
      </c>
    </row>
    <row r="174" spans="1:3" x14ac:dyDescent="0.35">
      <c r="A174" s="2">
        <v>45680</v>
      </c>
      <c r="B174" s="1" t="s">
        <v>33</v>
      </c>
      <c r="C174">
        <v>33.54</v>
      </c>
    </row>
    <row r="175" spans="1:3" x14ac:dyDescent="0.35">
      <c r="A175" s="2">
        <v>45680</v>
      </c>
      <c r="B175" s="1" t="s">
        <v>34</v>
      </c>
      <c r="C175">
        <v>35.380000000000003</v>
      </c>
    </row>
    <row r="176" spans="1:3" x14ac:dyDescent="0.35">
      <c r="A176" s="2">
        <v>45680</v>
      </c>
      <c r="B176" s="1" t="s">
        <v>35</v>
      </c>
      <c r="C176">
        <v>35.75</v>
      </c>
    </row>
    <row r="177" spans="1:3" x14ac:dyDescent="0.35">
      <c r="A177" s="2">
        <v>45672</v>
      </c>
      <c r="B177" s="1" t="s">
        <v>29</v>
      </c>
      <c r="C177">
        <v>47.14</v>
      </c>
    </row>
    <row r="178" spans="1:3" x14ac:dyDescent="0.35">
      <c r="A178" s="2">
        <v>45672</v>
      </c>
      <c r="B178" s="1" t="s">
        <v>30</v>
      </c>
      <c r="C178">
        <v>32.94</v>
      </c>
    </row>
    <row r="179" spans="1:3" x14ac:dyDescent="0.35">
      <c r="A179" s="2">
        <v>45672</v>
      </c>
      <c r="B179" s="1" t="s">
        <v>31</v>
      </c>
      <c r="C179">
        <v>49.84</v>
      </c>
    </row>
    <row r="180" spans="1:3" x14ac:dyDescent="0.35">
      <c r="A180" s="2">
        <v>45672</v>
      </c>
      <c r="B180" s="1" t="s">
        <v>32</v>
      </c>
      <c r="C180">
        <v>33.090000000000003</v>
      </c>
    </row>
    <row r="181" spans="1:3" x14ac:dyDescent="0.35">
      <c r="A181" s="2">
        <v>45672</v>
      </c>
      <c r="B181" s="1" t="s">
        <v>33</v>
      </c>
      <c r="C181">
        <v>33.94</v>
      </c>
    </row>
    <row r="182" spans="1:3" x14ac:dyDescent="0.35">
      <c r="A182" s="2">
        <v>45672</v>
      </c>
      <c r="B182" s="1" t="s">
        <v>34</v>
      </c>
      <c r="C182">
        <v>35.78</v>
      </c>
    </row>
    <row r="183" spans="1:3" x14ac:dyDescent="0.35">
      <c r="A183" s="2">
        <v>45672</v>
      </c>
      <c r="B183" s="1" t="s">
        <v>35</v>
      </c>
      <c r="C183">
        <v>36.15</v>
      </c>
    </row>
    <row r="184" spans="1:3" x14ac:dyDescent="0.35">
      <c r="A184" s="2">
        <v>45668</v>
      </c>
      <c r="B184" s="1" t="s">
        <v>29</v>
      </c>
      <c r="C184">
        <v>47.14</v>
      </c>
    </row>
    <row r="185" spans="1:3" x14ac:dyDescent="0.35">
      <c r="A185" s="2">
        <v>45668</v>
      </c>
      <c r="B185" s="1" t="s">
        <v>30</v>
      </c>
      <c r="C185">
        <v>32.94</v>
      </c>
    </row>
    <row r="186" spans="1:3" x14ac:dyDescent="0.35">
      <c r="A186" s="2">
        <v>45668</v>
      </c>
      <c r="B186" s="1" t="s">
        <v>31</v>
      </c>
      <c r="C186">
        <v>49.84</v>
      </c>
    </row>
    <row r="187" spans="1:3" x14ac:dyDescent="0.35">
      <c r="A187" s="2">
        <v>45668</v>
      </c>
      <c r="B187" s="1" t="s">
        <v>32</v>
      </c>
      <c r="C187">
        <v>33.090000000000003</v>
      </c>
    </row>
    <row r="188" spans="1:3" x14ac:dyDescent="0.35">
      <c r="A188" s="2">
        <v>45668</v>
      </c>
      <c r="B188" s="1" t="s">
        <v>33</v>
      </c>
      <c r="C188">
        <v>33.44</v>
      </c>
    </row>
    <row r="189" spans="1:3" x14ac:dyDescent="0.35">
      <c r="A189" s="2">
        <v>45668</v>
      </c>
      <c r="B189" s="1" t="s">
        <v>34</v>
      </c>
      <c r="C189">
        <v>35.28</v>
      </c>
    </row>
    <row r="190" spans="1:3" x14ac:dyDescent="0.35">
      <c r="A190" s="2">
        <v>45668</v>
      </c>
      <c r="B190" s="1" t="s">
        <v>35</v>
      </c>
      <c r="C190">
        <v>35.65</v>
      </c>
    </row>
    <row r="191" spans="1:3" x14ac:dyDescent="0.35">
      <c r="A191" s="2">
        <v>45660</v>
      </c>
      <c r="B191" s="1" t="s">
        <v>29</v>
      </c>
      <c r="C191">
        <v>47.14</v>
      </c>
    </row>
    <row r="192" spans="1:3" x14ac:dyDescent="0.35">
      <c r="A192" s="2">
        <v>45660</v>
      </c>
      <c r="B192" s="1" t="s">
        <v>30</v>
      </c>
      <c r="C192">
        <v>32.94</v>
      </c>
    </row>
    <row r="193" spans="1:3" x14ac:dyDescent="0.35">
      <c r="A193" s="2">
        <v>45660</v>
      </c>
      <c r="B193" s="1" t="s">
        <v>31</v>
      </c>
      <c r="C193">
        <v>49.84</v>
      </c>
    </row>
    <row r="194" spans="1:3" x14ac:dyDescent="0.35">
      <c r="A194" s="2">
        <v>45660</v>
      </c>
      <c r="B194" s="1" t="s">
        <v>32</v>
      </c>
      <c r="C194">
        <v>33.590000000000003</v>
      </c>
    </row>
    <row r="195" spans="1:3" x14ac:dyDescent="0.35">
      <c r="A195" s="2">
        <v>45660</v>
      </c>
      <c r="B195" s="1" t="s">
        <v>33</v>
      </c>
      <c r="C195">
        <v>33.840000000000003</v>
      </c>
    </row>
    <row r="196" spans="1:3" x14ac:dyDescent="0.35">
      <c r="A196" s="2">
        <v>45660</v>
      </c>
      <c r="B196" s="1" t="s">
        <v>34</v>
      </c>
      <c r="C196">
        <v>35.58</v>
      </c>
    </row>
    <row r="197" spans="1:3" x14ac:dyDescent="0.35">
      <c r="A197" s="2">
        <v>45660</v>
      </c>
      <c r="B197" s="1" t="s">
        <v>35</v>
      </c>
      <c r="C197">
        <v>35.950000000000003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C850-2BCE-4210-9C00-4BE8FA83A0EE}">
  <dimension ref="A1:H29"/>
  <sheetViews>
    <sheetView workbookViewId="0">
      <selection activeCell="C4" sqref="C4"/>
    </sheetView>
  </sheetViews>
  <sheetFormatPr defaultRowHeight="14.5" x14ac:dyDescent="0.35"/>
  <cols>
    <col min="1" max="1" width="10.453125" bestFit="1" customWidth="1"/>
    <col min="2" max="2" width="17.08984375" bestFit="1" customWidth="1"/>
    <col min="3" max="3" width="8" bestFit="1" customWidth="1"/>
    <col min="4" max="4" width="12" bestFit="1" customWidth="1"/>
    <col min="5" max="6" width="6.08984375" bestFit="1" customWidth="1"/>
    <col min="7" max="8" width="12.36328125" bestFit="1" customWidth="1"/>
  </cols>
  <sheetData>
    <row r="1" spans="1:8" x14ac:dyDescent="0.35">
      <c r="A1" t="s">
        <v>0</v>
      </c>
      <c r="B1" t="s">
        <v>29</v>
      </c>
      <c r="C1" t="s">
        <v>30</v>
      </c>
      <c r="D1" t="s">
        <v>31</v>
      </c>
      <c r="E1" t="s">
        <v>32</v>
      </c>
      <c r="F1" t="s">
        <v>33</v>
      </c>
      <c r="G1" t="s">
        <v>34</v>
      </c>
      <c r="H1" t="s">
        <v>35</v>
      </c>
    </row>
    <row r="2" spans="1:8" x14ac:dyDescent="0.35">
      <c r="A2" s="1" t="s">
        <v>1</v>
      </c>
      <c r="B2">
        <v>45.64</v>
      </c>
      <c r="C2">
        <v>30.94</v>
      </c>
      <c r="D2">
        <v>49.54</v>
      </c>
      <c r="E2">
        <v>27.59</v>
      </c>
      <c r="F2">
        <v>29.64</v>
      </c>
      <c r="G2">
        <v>31.48</v>
      </c>
      <c r="H2">
        <v>31.85</v>
      </c>
    </row>
    <row r="3" spans="1:8" x14ac:dyDescent="0.35">
      <c r="A3" s="1" t="s">
        <v>2</v>
      </c>
      <c r="B3">
        <v>45.64</v>
      </c>
      <c r="C3">
        <v>31.44</v>
      </c>
      <c r="D3">
        <v>49.84</v>
      </c>
      <c r="E3">
        <v>27.89</v>
      </c>
      <c r="F3">
        <v>29.94</v>
      </c>
      <c r="G3">
        <v>31.78</v>
      </c>
      <c r="H3">
        <v>32.15</v>
      </c>
    </row>
    <row r="4" spans="1:8" x14ac:dyDescent="0.35">
      <c r="A4" s="1" t="s">
        <v>3</v>
      </c>
      <c r="B4">
        <v>46.14</v>
      </c>
      <c r="C4">
        <v>31.94</v>
      </c>
      <c r="D4">
        <v>49.84</v>
      </c>
      <c r="E4">
        <v>28.39</v>
      </c>
      <c r="F4">
        <v>30.44</v>
      </c>
      <c r="G4">
        <v>32.28</v>
      </c>
      <c r="H4">
        <v>32.65</v>
      </c>
    </row>
    <row r="5" spans="1:8" x14ac:dyDescent="0.35">
      <c r="A5" s="1" t="s">
        <v>4</v>
      </c>
      <c r="B5">
        <v>46.14</v>
      </c>
      <c r="C5">
        <v>31.94</v>
      </c>
      <c r="D5">
        <v>49.84</v>
      </c>
      <c r="E5">
        <v>28.69</v>
      </c>
      <c r="F5">
        <v>30.74</v>
      </c>
      <c r="G5">
        <v>32.58</v>
      </c>
      <c r="H5">
        <v>32.950000000000003</v>
      </c>
    </row>
    <row r="6" spans="1:8" x14ac:dyDescent="0.35">
      <c r="A6" s="1" t="s">
        <v>5</v>
      </c>
      <c r="B6">
        <v>46.14</v>
      </c>
      <c r="C6">
        <v>31.94</v>
      </c>
      <c r="D6">
        <v>49.84</v>
      </c>
      <c r="E6">
        <v>28.69</v>
      </c>
      <c r="F6">
        <v>30.34</v>
      </c>
      <c r="G6">
        <v>32.18</v>
      </c>
      <c r="H6">
        <v>32.549999999999997</v>
      </c>
    </row>
    <row r="7" spans="1:8" x14ac:dyDescent="0.35">
      <c r="A7" s="1" t="s">
        <v>6</v>
      </c>
      <c r="B7">
        <v>46.14</v>
      </c>
      <c r="C7">
        <v>31.94</v>
      </c>
      <c r="D7">
        <v>49.84</v>
      </c>
      <c r="E7">
        <v>28.99</v>
      </c>
      <c r="F7">
        <v>30.64</v>
      </c>
      <c r="G7">
        <v>32.479999999999997</v>
      </c>
      <c r="H7">
        <v>32.85</v>
      </c>
    </row>
    <row r="8" spans="1:8" x14ac:dyDescent="0.35">
      <c r="A8" s="1" t="s">
        <v>7</v>
      </c>
      <c r="B8">
        <v>46.14</v>
      </c>
      <c r="C8">
        <v>31.94</v>
      </c>
      <c r="D8">
        <v>49.84</v>
      </c>
      <c r="E8">
        <v>29.39</v>
      </c>
      <c r="F8">
        <v>31.04</v>
      </c>
      <c r="G8">
        <v>32.880000000000003</v>
      </c>
      <c r="H8">
        <v>33.25</v>
      </c>
    </row>
    <row r="9" spans="1:8" x14ac:dyDescent="0.35">
      <c r="A9" s="1" t="s">
        <v>8</v>
      </c>
      <c r="B9">
        <v>46.14</v>
      </c>
      <c r="C9">
        <v>31.94</v>
      </c>
      <c r="D9">
        <v>49.84</v>
      </c>
      <c r="E9">
        <v>28.99</v>
      </c>
      <c r="F9">
        <v>30.64</v>
      </c>
      <c r="G9">
        <v>32.479999999999997</v>
      </c>
      <c r="H9">
        <v>32.85</v>
      </c>
    </row>
    <row r="10" spans="1:8" x14ac:dyDescent="0.35">
      <c r="A10" s="1" t="s">
        <v>9</v>
      </c>
      <c r="B10">
        <v>46.14</v>
      </c>
      <c r="C10">
        <v>31.94</v>
      </c>
      <c r="D10">
        <v>49.84</v>
      </c>
      <c r="E10">
        <v>28.59</v>
      </c>
      <c r="F10">
        <v>30.24</v>
      </c>
      <c r="G10">
        <v>32.08</v>
      </c>
      <c r="H10">
        <v>32.450000000000003</v>
      </c>
    </row>
    <row r="11" spans="1:8" x14ac:dyDescent="0.35">
      <c r="A11" s="1" t="s">
        <v>10</v>
      </c>
      <c r="B11">
        <v>46.14</v>
      </c>
      <c r="C11">
        <v>31.94</v>
      </c>
      <c r="D11">
        <v>49.84</v>
      </c>
      <c r="E11">
        <v>28.99</v>
      </c>
      <c r="F11">
        <v>30.64</v>
      </c>
      <c r="G11">
        <v>32.479999999999997</v>
      </c>
      <c r="H11">
        <v>32.85</v>
      </c>
    </row>
    <row r="12" spans="1:8" x14ac:dyDescent="0.35">
      <c r="A12" s="1" t="s">
        <v>11</v>
      </c>
      <c r="B12">
        <v>46.14</v>
      </c>
      <c r="C12">
        <v>31.94</v>
      </c>
      <c r="D12">
        <v>49.84</v>
      </c>
      <c r="E12">
        <v>29.29</v>
      </c>
      <c r="F12">
        <v>30.94</v>
      </c>
      <c r="G12">
        <v>32.78</v>
      </c>
      <c r="H12">
        <v>33.15</v>
      </c>
    </row>
    <row r="13" spans="1:8" x14ac:dyDescent="0.35">
      <c r="A13" s="1" t="s">
        <v>12</v>
      </c>
      <c r="B13">
        <v>46.14</v>
      </c>
      <c r="C13">
        <v>31.94</v>
      </c>
      <c r="D13">
        <v>49.84</v>
      </c>
      <c r="E13">
        <v>29.79</v>
      </c>
      <c r="F13">
        <v>31.44</v>
      </c>
      <c r="G13">
        <v>33.28</v>
      </c>
      <c r="H13">
        <v>33.65</v>
      </c>
    </row>
    <row r="14" spans="1:8" x14ac:dyDescent="0.35">
      <c r="A14" s="1" t="s">
        <v>13</v>
      </c>
      <c r="B14">
        <v>46.14</v>
      </c>
      <c r="C14">
        <v>31.94</v>
      </c>
      <c r="D14">
        <v>49.54</v>
      </c>
      <c r="E14">
        <v>29.39</v>
      </c>
      <c r="F14">
        <v>31.04</v>
      </c>
      <c r="G14">
        <v>32.880000000000003</v>
      </c>
      <c r="H14">
        <v>33.25</v>
      </c>
    </row>
    <row r="15" spans="1:8" x14ac:dyDescent="0.35">
      <c r="A15" s="1" t="s">
        <v>14</v>
      </c>
      <c r="B15">
        <v>46.14</v>
      </c>
      <c r="C15">
        <v>31.94</v>
      </c>
      <c r="D15">
        <v>49.24</v>
      </c>
      <c r="E15">
        <v>29.09</v>
      </c>
      <c r="F15">
        <v>30.74</v>
      </c>
      <c r="G15">
        <v>32.58</v>
      </c>
      <c r="H15">
        <v>32.950000000000003</v>
      </c>
    </row>
    <row r="16" spans="1:8" x14ac:dyDescent="0.35">
      <c r="A16" s="1" t="s">
        <v>15</v>
      </c>
      <c r="B16">
        <v>46.14</v>
      </c>
      <c r="C16">
        <v>31.94</v>
      </c>
      <c r="D16">
        <v>48.84</v>
      </c>
      <c r="E16">
        <v>28.69</v>
      </c>
      <c r="F16">
        <v>30.34</v>
      </c>
      <c r="G16">
        <v>32.18</v>
      </c>
      <c r="H16">
        <v>32.549999999999997</v>
      </c>
    </row>
    <row r="17" spans="1:8" x14ac:dyDescent="0.35">
      <c r="A17" s="1" t="s">
        <v>16</v>
      </c>
      <c r="B17">
        <v>46.14</v>
      </c>
      <c r="C17">
        <v>31.94</v>
      </c>
      <c r="D17">
        <v>48.84</v>
      </c>
      <c r="E17">
        <v>28.99</v>
      </c>
      <c r="F17">
        <v>30.64</v>
      </c>
      <c r="G17">
        <v>32.479999999999997</v>
      </c>
      <c r="H17">
        <v>32.85</v>
      </c>
    </row>
    <row r="18" spans="1:8" x14ac:dyDescent="0.35">
      <c r="A18" s="1" t="s">
        <v>17</v>
      </c>
      <c r="B18">
        <v>46.14</v>
      </c>
      <c r="C18">
        <v>31.94</v>
      </c>
      <c r="D18">
        <v>48.84</v>
      </c>
      <c r="E18">
        <v>29.29</v>
      </c>
      <c r="F18">
        <v>30.94</v>
      </c>
      <c r="G18">
        <v>32.78</v>
      </c>
      <c r="H18">
        <v>33.15</v>
      </c>
    </row>
    <row r="19" spans="1:8" x14ac:dyDescent="0.35">
      <c r="A19" s="1" t="s">
        <v>18</v>
      </c>
      <c r="B19">
        <v>46.14</v>
      </c>
      <c r="C19">
        <v>31.94</v>
      </c>
      <c r="D19">
        <v>48.84</v>
      </c>
      <c r="E19">
        <v>29.79</v>
      </c>
      <c r="F19">
        <v>31.44</v>
      </c>
      <c r="G19">
        <v>33.28</v>
      </c>
      <c r="H19">
        <v>33.65</v>
      </c>
    </row>
    <row r="20" spans="1:8" x14ac:dyDescent="0.35">
      <c r="A20" s="1" t="s">
        <v>19</v>
      </c>
      <c r="B20">
        <v>46.64</v>
      </c>
      <c r="C20">
        <v>32.44</v>
      </c>
      <c r="D20">
        <v>49.34</v>
      </c>
      <c r="E20">
        <v>30.29</v>
      </c>
      <c r="F20">
        <v>31.94</v>
      </c>
      <c r="G20">
        <v>33.78</v>
      </c>
      <c r="H20">
        <v>34.15</v>
      </c>
    </row>
    <row r="21" spans="1:8" x14ac:dyDescent="0.35">
      <c r="A21" s="1" t="s">
        <v>20</v>
      </c>
      <c r="B21">
        <v>47.14</v>
      </c>
      <c r="C21">
        <v>32.94</v>
      </c>
      <c r="D21">
        <v>49.84</v>
      </c>
      <c r="E21">
        <v>30.79</v>
      </c>
      <c r="F21">
        <v>32.44</v>
      </c>
      <c r="G21">
        <v>34.28</v>
      </c>
      <c r="H21">
        <v>34.65</v>
      </c>
    </row>
    <row r="22" spans="1:8" x14ac:dyDescent="0.35">
      <c r="A22" s="1" t="s">
        <v>21</v>
      </c>
      <c r="B22">
        <v>47.14</v>
      </c>
      <c r="C22">
        <v>32.94</v>
      </c>
      <c r="D22">
        <v>49.84</v>
      </c>
      <c r="E22">
        <v>31.19</v>
      </c>
      <c r="F22">
        <v>32.74</v>
      </c>
      <c r="G22">
        <v>34.58</v>
      </c>
      <c r="H22">
        <v>34.950000000000003</v>
      </c>
    </row>
    <row r="23" spans="1:8" x14ac:dyDescent="0.35">
      <c r="A23" s="1" t="s">
        <v>22</v>
      </c>
      <c r="B23">
        <v>47.14</v>
      </c>
      <c r="C23">
        <v>32.94</v>
      </c>
      <c r="D23">
        <v>49.84</v>
      </c>
      <c r="E23">
        <v>31.69</v>
      </c>
      <c r="F23">
        <v>33.14</v>
      </c>
      <c r="G23">
        <v>34.979999999999997</v>
      </c>
      <c r="H23">
        <v>35.35</v>
      </c>
    </row>
    <row r="24" spans="1:8" x14ac:dyDescent="0.35">
      <c r="A24" s="1" t="s">
        <v>23</v>
      </c>
      <c r="B24">
        <v>47.14</v>
      </c>
      <c r="C24">
        <v>32.94</v>
      </c>
      <c r="D24">
        <v>49.84</v>
      </c>
      <c r="E24">
        <v>32.090000000000003</v>
      </c>
      <c r="F24">
        <v>33.44</v>
      </c>
      <c r="G24">
        <v>35.28</v>
      </c>
      <c r="H24">
        <v>35.65</v>
      </c>
    </row>
    <row r="25" spans="1:8" x14ac:dyDescent="0.35">
      <c r="A25" s="1" t="s">
        <v>24</v>
      </c>
      <c r="B25">
        <v>47.14</v>
      </c>
      <c r="C25">
        <v>32.94</v>
      </c>
      <c r="D25">
        <v>49.84</v>
      </c>
      <c r="E25">
        <v>32.090000000000003</v>
      </c>
      <c r="F25">
        <v>33.14</v>
      </c>
      <c r="G25">
        <v>34.979999999999997</v>
      </c>
      <c r="H25">
        <v>35.35</v>
      </c>
    </row>
    <row r="26" spans="1:8" x14ac:dyDescent="0.35">
      <c r="A26" s="1" t="s">
        <v>25</v>
      </c>
      <c r="B26">
        <v>47.14</v>
      </c>
      <c r="C26">
        <v>32.94</v>
      </c>
      <c r="D26">
        <v>49.84</v>
      </c>
      <c r="E26">
        <v>32.590000000000003</v>
      </c>
      <c r="F26">
        <v>33.54</v>
      </c>
      <c r="G26">
        <v>35.380000000000003</v>
      </c>
      <c r="H26">
        <v>35.75</v>
      </c>
    </row>
    <row r="27" spans="1:8" x14ac:dyDescent="0.35">
      <c r="A27" s="1" t="s">
        <v>26</v>
      </c>
      <c r="B27">
        <v>47.14</v>
      </c>
      <c r="C27">
        <v>32.94</v>
      </c>
      <c r="D27">
        <v>49.84</v>
      </c>
      <c r="E27">
        <v>33.090000000000003</v>
      </c>
      <c r="F27">
        <v>33.94</v>
      </c>
      <c r="G27">
        <v>35.78</v>
      </c>
      <c r="H27">
        <v>36.15</v>
      </c>
    </row>
    <row r="28" spans="1:8" x14ac:dyDescent="0.35">
      <c r="A28" s="1" t="s">
        <v>27</v>
      </c>
      <c r="B28">
        <v>47.14</v>
      </c>
      <c r="C28">
        <v>32.94</v>
      </c>
      <c r="D28">
        <v>49.84</v>
      </c>
      <c r="E28">
        <v>33.090000000000003</v>
      </c>
      <c r="F28">
        <v>33.44</v>
      </c>
      <c r="G28">
        <v>35.28</v>
      </c>
      <c r="H28">
        <v>35.65</v>
      </c>
    </row>
    <row r="29" spans="1:8" x14ac:dyDescent="0.35">
      <c r="A29" s="1" t="s">
        <v>28</v>
      </c>
      <c r="B29">
        <v>47.14</v>
      </c>
      <c r="C29">
        <v>32.94</v>
      </c>
      <c r="D29">
        <v>49.84</v>
      </c>
      <c r="E29">
        <v>33.590000000000003</v>
      </c>
      <c r="F29">
        <v>33.840000000000003</v>
      </c>
      <c r="G29">
        <v>35.58</v>
      </c>
      <c r="H29">
        <v>35.950000000000003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A67B68-6E65-419B-BA16-647ACE6458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Avg price</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Pattarathorn</dc:creator>
  <cp:lastModifiedBy>Pattarathorn</cp:lastModifiedBy>
  <dcterms:created xsi:type="dcterms:W3CDTF">2025-11-18T07:30:41Z</dcterms:created>
  <dcterms:modified xsi:type="dcterms:W3CDTF">2025-11-18T09:07:17Z</dcterms:modified>
</cp:coreProperties>
</file>